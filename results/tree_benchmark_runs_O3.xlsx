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Median" sheetId="2" state="visible" r:id="rId4"/>
    <sheet name="Ratios" sheetId="3" state="visible" r:id="rId5"/>
    <sheet name="Run 1" sheetId="4" state="visible" r:id="rId6"/>
    <sheet name="Run 2" sheetId="5" state="visible" r:id="rId7"/>
    <sheet name="Run 3" sheetId="6" state="visible" r:id="rId8"/>
    <sheet name="Run 4" sheetId="7" state="visible" r:id="rId9"/>
    <sheet name="Run 5" sheetId="8" state="visible" r:id="rId10"/>
    <sheet name="Run 6" sheetId="9" state="visible" r:id="rId11"/>
    <sheet name="Run 7" sheetId="10" state="visible" r:id="rId12"/>
    <sheet name="Run 8" sheetId="11" state="visible" r:id="rId13"/>
    <sheet name="Run 9" sheetId="12" state="visible" r:id="rId14"/>
    <sheet name="Run 10" sheetId="13" state="visible" r:id="rId15"/>
    <sheet name="Run 11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<sst xmlns="http://schemas.openxmlformats.org/spreadsheetml/2006/main" count="2845" uniqueCount="40">
  <si>
    <t xml:space="preserve">Benchmark: build/tree_benchmark, compiled with g++ 13.3.0 -std=c++20 -O3 -DNDEBUG</t>
  </si>
  <si>
    <t xml:space="preserve">Machine: Liang Zhou's laptop, Ubuntu 24.04 (WSL), pinned with taskset -c 2</t>
  </si>
  <si>
    <t xml:space="preserve">Source: results_o3/run_1.txt to run_11.txt (nanobench output, parsed unchanged)</t>
  </si>
  <si>
    <t xml:space="preserve">Median sheet: MEDIAN of ns/op over the 11 run sheets (formulas)</t>
  </si>
  <si>
    <t xml:space="preserve">Ratios sheet: computed from the Median sheet at n = 262144 (2^18)</t>
  </si>
  <si>
    <t xml:space="preserve">Unstable = nanobench flagged the row (err% high); insert/erase rows time one pass of n keys, so they are noisier</t>
  </si>
  <si>
    <t xml:space="preserve">Operation</t>
  </si>
  <si>
    <t xml:space="preserve">Structure</t>
  </si>
  <si>
    <t xml:space="preserve">Order</t>
  </si>
  <si>
    <t xml:space="preserve">n</t>
  </si>
  <si>
    <t xml:space="preserve">Median ns/op</t>
  </si>
  <si>
    <t xml:space="preserve">Min ns/op</t>
  </si>
  <si>
    <t xml:space="preserve">Max ns/op</t>
  </si>
  <si>
    <t xml:space="preserve">Unstable runs</t>
  </si>
  <si>
    <t xml:space="preserve">find</t>
  </si>
  <si>
    <t xml:space="preserve">map</t>
  </si>
  <si>
    <t xml:space="preserve">sorted</t>
  </si>
  <si>
    <t xml:space="preserve">random</t>
  </si>
  <si>
    <t xml:space="preserve">rb</t>
  </si>
  <si>
    <t xml:space="preserve">avl</t>
  </si>
  <si>
    <t xml:space="preserve">insert</t>
  </si>
  <si>
    <t xml:space="preserve">erase</t>
  </si>
  <si>
    <t xml:space="preserve">AVL/RB time ratio at n = 262144 (above 1 = AVL slower)</t>
  </si>
  <si>
    <t xml:space="preserve">Random insertion</t>
  </si>
  <si>
    <t xml:space="preserve">Random deletion</t>
  </si>
  <si>
    <t xml:space="preserve">Sorted insertion</t>
  </si>
  <si>
    <t xml:space="preserve">Sorted deletion</t>
  </si>
  <si>
    <t xml:space="preserve">Random find</t>
  </si>
  <si>
    <t xml:space="preserve">Sorted find</t>
  </si>
  <si>
    <t xml:space="preserve">Sorted-to-random speed ratio at n = 262144 (random time / sorted time; compare Brown Table 4)</t>
  </si>
  <si>
    <t xml:space="preserve">AVL insertion</t>
  </si>
  <si>
    <t xml:space="preserve">AVL deletion</t>
  </si>
  <si>
    <t xml:space="preserve">RB insertion</t>
  </si>
  <si>
    <t xml:space="preserve">RB deletion</t>
  </si>
  <si>
    <t xml:space="preserve">ns/op</t>
  </si>
  <si>
    <t xml:space="preserve">ops/s</t>
  </si>
  <si>
    <t xml:space="preserve">Err %</t>
  </si>
  <si>
    <t xml:space="preserve">Total (s)</t>
  </si>
  <si>
    <t xml:space="preserve">Unstable</t>
  </si>
  <si>
    <t xml:space="preserve">Yes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</si>
</sst>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f aca="false">MEDIAN('Run 1'!E2,'Run 2'!E2,'Run 3'!E2,'Run 4'!E2,'Run 5'!E2,'Run 6'!E2,'Run 7'!E2,'Run 8'!E2,'Run 9'!E2,'Run 10'!E2,'Run 11'!E2)</f>
        <v>46.78</v>
      </c>
      <c r="F2" s="3" t="n">
        <f aca="false">MIN('Run 1'!E2,'Run 2'!E2,'Run 3'!E2,'Run 4'!E2,'Run 5'!E2,'Run 6'!E2,'Run 7'!E2,'Run 8'!E2,'Run 9'!E2,'Run 10'!E2,'Run 11'!E2)</f>
        <v>45.57</v>
      </c>
      <c r="G2" s="3" t="n">
        <f aca="false">MAX('Run 1'!E2,'Run 2'!E2,'Run 3'!E2,'Run 4'!E2,'Run 5'!E2,'Run 6'!E2,'Run 7'!E2,'Run 8'!E2,'Run 9'!E2,'Run 10'!E2,'Run 11'!E2)</f>
        <v>53.86</v>
      </c>
      <c r="H2" s="1" t="n">
        <f aca="false">COUNTIF('Run 1'!I2,"Yes")+COUNTIF('Run 2'!I2,"Yes")+COUNTIF('Run 3'!I2,"Yes")+COUNTIF('Run 4'!I2,"Yes")+COUNTIF('Run 5'!I2,"Yes")+COUNTIF('Run 6'!I2,"Yes")+COUNTIF('Run 7'!I2,"Yes")+COUNTIF('Run 8'!I2,"Yes")+COUNTIF('Run 9'!I2,"Yes")+COUNTIF('Run 10'!I2,"Yes")+COUNTIF('Run 11'!I2,"Yes")</f>
        <v>0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f aca="false">MEDIAN('Run 1'!E3,'Run 2'!E3,'Run 3'!E3,'Run 4'!E3,'Run 5'!E3,'Run 6'!E3,'Run 7'!E3,'Run 8'!E3,'Run 9'!E3,'Run 10'!E3,'Run 11'!E3)</f>
        <v>41.05</v>
      </c>
      <c r="F3" s="3" t="n">
        <f aca="false">MIN('Run 1'!E3,'Run 2'!E3,'Run 3'!E3,'Run 4'!E3,'Run 5'!E3,'Run 6'!E3,'Run 7'!E3,'Run 8'!E3,'Run 9'!E3,'Run 10'!E3,'Run 11'!E3)</f>
        <v>38.27</v>
      </c>
      <c r="G3" s="3" t="n">
        <f aca="false">MAX('Run 1'!E3,'Run 2'!E3,'Run 3'!E3,'Run 4'!E3,'Run 5'!E3,'Run 6'!E3,'Run 7'!E3,'Run 8'!E3,'Run 9'!E3,'Run 10'!E3,'Run 11'!E3)</f>
        <v>42.27</v>
      </c>
      <c r="H3" s="1" t="n">
        <f aca="false">COUNTIF('Run 1'!I3,"Yes")+COUNTIF('Run 2'!I3,"Yes")+COUNTIF('Run 3'!I3,"Yes")+COUNTIF('Run 4'!I3,"Yes")+COUNTIF('Run 5'!I3,"Yes")+COUNTIF('Run 6'!I3,"Yes")+COUNTIF('Run 7'!I3,"Yes")+COUNTIF('Run 8'!I3,"Yes")+COUNTIF('Run 9'!I3,"Yes")+COUNTIF('Run 10'!I3,"Yes")+COUNTIF('Run 11'!I3,"Yes")</f>
        <v>0</v>
      </c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f aca="false">MEDIAN('Run 1'!E4,'Run 2'!E4,'Run 3'!E4,'Run 4'!E4,'Run 5'!E4,'Run 6'!E4,'Run 7'!E4,'Run 8'!E4,'Run 9'!E4,'Run 10'!E4,'Run 11'!E4)</f>
        <v>14.62</v>
      </c>
      <c r="F4" s="3" t="n">
        <f aca="false">MIN('Run 1'!E4,'Run 2'!E4,'Run 3'!E4,'Run 4'!E4,'Run 5'!E4,'Run 6'!E4,'Run 7'!E4,'Run 8'!E4,'Run 9'!E4,'Run 10'!E4,'Run 11'!E4)</f>
        <v>12.97</v>
      </c>
      <c r="G4" s="3" t="n">
        <f aca="false">MAX('Run 1'!E4,'Run 2'!E4,'Run 3'!E4,'Run 4'!E4,'Run 5'!E4,'Run 6'!E4,'Run 7'!E4,'Run 8'!E4,'Run 9'!E4,'Run 10'!E4,'Run 11'!E4)</f>
        <v>15.2</v>
      </c>
      <c r="H4" s="1" t="n">
        <f aca="false">COUNTIF('Run 1'!I4,"Yes")+COUNTIF('Run 2'!I4,"Yes")+COUNTIF('Run 3'!I4,"Yes")+COUNTIF('Run 4'!I4,"Yes")+COUNTIF('Run 5'!I4,"Yes")+COUNTIF('Run 6'!I4,"Yes")+COUNTIF('Run 7'!I4,"Yes")+COUNTIF('Run 8'!I4,"Yes")+COUNTIF('Run 9'!I4,"Yes")+COUNTIF('Run 10'!I4,"Yes")+COUNTIF('Run 11'!I4,"Yes")</f>
        <v>1</v>
      </c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f aca="false">MEDIAN('Run 1'!E5,'Run 2'!E5,'Run 3'!E5,'Run 4'!E5,'Run 5'!E5,'Run 6'!E5,'Run 7'!E5,'Run 8'!E5,'Run 9'!E5,'Run 10'!E5,'Run 11'!E5)</f>
        <v>12.44</v>
      </c>
      <c r="F5" s="3" t="n">
        <f aca="false">MIN('Run 1'!E5,'Run 2'!E5,'Run 3'!E5,'Run 4'!E5,'Run 5'!E5,'Run 6'!E5,'Run 7'!E5,'Run 8'!E5,'Run 9'!E5,'Run 10'!E5,'Run 11'!E5)</f>
        <v>11.19</v>
      </c>
      <c r="G5" s="3" t="n">
        <f aca="false">MAX('Run 1'!E5,'Run 2'!E5,'Run 3'!E5,'Run 4'!E5,'Run 5'!E5,'Run 6'!E5,'Run 7'!E5,'Run 8'!E5,'Run 9'!E5,'Run 10'!E5,'Run 11'!E5)</f>
        <v>12.97</v>
      </c>
      <c r="H5" s="1" t="n">
        <f aca="false">COUNTIF('Run 1'!I5,"Yes")+COUNTIF('Run 2'!I5,"Yes")+COUNTIF('Run 3'!I5,"Yes")+COUNTIF('Run 4'!I5,"Yes")+COUNTIF('Run 5'!I5,"Yes")+COUNTIF('Run 6'!I5,"Yes")+COUNTIF('Run 7'!I5,"Yes")+COUNTIF('Run 8'!I5,"Yes")+COUNTIF('Run 9'!I5,"Yes")+COUNTIF('Run 10'!I5,"Yes")+COUNTIF('Run 11'!I5,"Yes")</f>
        <v>0</v>
      </c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f aca="false">MEDIAN('Run 1'!E6,'Run 2'!E6,'Run 3'!E6,'Run 4'!E6,'Run 5'!E6,'Run 6'!E6,'Run 7'!E6,'Run 8'!E6,'Run 9'!E6,'Run 10'!E6,'Run 11'!E6)</f>
        <v>9.43</v>
      </c>
      <c r="F6" s="3" t="n">
        <f aca="false">MIN('Run 1'!E6,'Run 2'!E6,'Run 3'!E6,'Run 4'!E6,'Run 5'!E6,'Run 6'!E6,'Run 7'!E6,'Run 8'!E6,'Run 9'!E6,'Run 10'!E6,'Run 11'!E6)</f>
        <v>8.93</v>
      </c>
      <c r="G6" s="3" t="n">
        <f aca="false">MAX('Run 1'!E6,'Run 2'!E6,'Run 3'!E6,'Run 4'!E6,'Run 5'!E6,'Run 6'!E6,'Run 7'!E6,'Run 8'!E6,'Run 9'!E6,'Run 10'!E6,'Run 11'!E6)</f>
        <v>9.98</v>
      </c>
      <c r="H6" s="1" t="n">
        <f aca="false">COUNTIF('Run 1'!I6,"Yes")+COUNTIF('Run 2'!I6,"Yes")+COUNTIF('Run 3'!I6,"Yes")+COUNTIF('Run 4'!I6,"Yes")+COUNTIF('Run 5'!I6,"Yes")+COUNTIF('Run 6'!I6,"Yes")+COUNTIF('Run 7'!I6,"Yes")+COUNTIF('Run 8'!I6,"Yes")+COUNTIF('Run 9'!I6,"Yes")+COUNTIF('Run 10'!I6,"Yes")+COUNTIF('Run 11'!I6,"Yes")</f>
        <v>0</v>
      </c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f aca="false">MEDIAN('Run 1'!E7,'Run 2'!E7,'Run 3'!E7,'Run 4'!E7,'Run 5'!E7,'Run 6'!E7,'Run 7'!E7,'Run 8'!E7,'Run 9'!E7,'Run 10'!E7,'Run 11'!E7)</f>
        <v>11.5</v>
      </c>
      <c r="F7" s="3" t="n">
        <f aca="false">MIN('Run 1'!E7,'Run 2'!E7,'Run 3'!E7,'Run 4'!E7,'Run 5'!E7,'Run 6'!E7,'Run 7'!E7,'Run 8'!E7,'Run 9'!E7,'Run 10'!E7,'Run 11'!E7)</f>
        <v>11.19</v>
      </c>
      <c r="G7" s="3" t="n">
        <f aca="false">MAX('Run 1'!E7,'Run 2'!E7,'Run 3'!E7,'Run 4'!E7,'Run 5'!E7,'Run 6'!E7,'Run 7'!E7,'Run 8'!E7,'Run 9'!E7,'Run 10'!E7,'Run 11'!E7)</f>
        <v>11.94</v>
      </c>
      <c r="H7" s="1" t="n">
        <f aca="false">COUNTIF('Run 1'!I7,"Yes")+COUNTIF('Run 2'!I7,"Yes")+COUNTIF('Run 3'!I7,"Yes")+COUNTIF('Run 4'!I7,"Yes")+COUNTIF('Run 5'!I7,"Yes")+COUNTIF('Run 6'!I7,"Yes")+COUNTIF('Run 7'!I7,"Yes")+COUNTIF('Run 8'!I7,"Yes")+COUNTIF('Run 9'!I7,"Yes")+COUNTIF('Run 10'!I7,"Yes")+COUNTIF('Run 11'!I7,"Yes")</f>
        <v>0</v>
      </c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f aca="false">MEDIAN('Run 1'!E8,'Run 2'!E8,'Run 3'!E8,'Run 4'!E8,'Run 5'!E8,'Run 6'!E8,'Run 7'!E8,'Run 8'!E8,'Run 9'!E8,'Run 10'!E8,'Run 11'!E8)</f>
        <v>69.02</v>
      </c>
      <c r="F8" s="3" t="n">
        <f aca="false">MIN('Run 1'!E8,'Run 2'!E8,'Run 3'!E8,'Run 4'!E8,'Run 5'!E8,'Run 6'!E8,'Run 7'!E8,'Run 8'!E8,'Run 9'!E8,'Run 10'!E8,'Run 11'!E8)</f>
        <v>67.82</v>
      </c>
      <c r="G8" s="3" t="n">
        <f aca="false">MAX('Run 1'!E8,'Run 2'!E8,'Run 3'!E8,'Run 4'!E8,'Run 5'!E8,'Run 6'!E8,'Run 7'!E8,'Run 8'!E8,'Run 9'!E8,'Run 10'!E8,'Run 11'!E8)</f>
        <v>70.08</v>
      </c>
      <c r="H8" s="1" t="n">
        <f aca="false">COUNTIF('Run 1'!I8,"Yes")+COUNTIF('Run 2'!I8,"Yes")+COUNTIF('Run 3'!I8,"Yes")+COUNTIF('Run 4'!I8,"Yes")+COUNTIF('Run 5'!I8,"Yes")+COUNTIF('Run 6'!I8,"Yes")+COUNTIF('Run 7'!I8,"Yes")+COUNTIF('Run 8'!I8,"Yes")+COUNTIF('Run 9'!I8,"Yes")+COUNTIF('Run 10'!I8,"Yes")+COUNTIF('Run 11'!I8,"Yes")</f>
        <v>0</v>
      </c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f aca="false">MEDIAN('Run 1'!E9,'Run 2'!E9,'Run 3'!E9,'Run 4'!E9,'Run 5'!E9,'Run 6'!E9,'Run 7'!E9,'Run 8'!E9,'Run 9'!E9,'Run 10'!E9,'Run 11'!E9)</f>
        <v>61.45</v>
      </c>
      <c r="F9" s="3" t="n">
        <f aca="false">MIN('Run 1'!E9,'Run 2'!E9,'Run 3'!E9,'Run 4'!E9,'Run 5'!E9,'Run 6'!E9,'Run 7'!E9,'Run 8'!E9,'Run 9'!E9,'Run 10'!E9,'Run 11'!E9)</f>
        <v>59.99</v>
      </c>
      <c r="G9" s="3" t="n">
        <f aca="false">MAX('Run 1'!E9,'Run 2'!E9,'Run 3'!E9,'Run 4'!E9,'Run 5'!E9,'Run 6'!E9,'Run 7'!E9,'Run 8'!E9,'Run 9'!E9,'Run 10'!E9,'Run 11'!E9)</f>
        <v>65.58</v>
      </c>
      <c r="H9" s="1" t="n">
        <f aca="false">COUNTIF('Run 1'!I9,"Yes")+COUNTIF('Run 2'!I9,"Yes")+COUNTIF('Run 3'!I9,"Yes")+COUNTIF('Run 4'!I9,"Yes")+COUNTIF('Run 5'!I9,"Yes")+COUNTIF('Run 6'!I9,"Yes")+COUNTIF('Run 7'!I9,"Yes")+COUNTIF('Run 8'!I9,"Yes")+COUNTIF('Run 9'!I9,"Yes")+COUNTIF('Run 10'!I9,"Yes")+COUNTIF('Run 11'!I9,"Yes")</f>
        <v>0</v>
      </c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f aca="false">MEDIAN('Run 1'!E10,'Run 2'!E10,'Run 3'!E10,'Run 4'!E10,'Run 5'!E10,'Run 6'!E10,'Run 7'!E10,'Run 8'!E10,'Run 9'!E10,'Run 10'!E10,'Run 11'!E10)</f>
        <v>26.58</v>
      </c>
      <c r="F10" s="3" t="n">
        <f aca="false">MIN('Run 1'!E10,'Run 2'!E10,'Run 3'!E10,'Run 4'!E10,'Run 5'!E10,'Run 6'!E10,'Run 7'!E10,'Run 8'!E10,'Run 9'!E10,'Run 10'!E10,'Run 11'!E10)</f>
        <v>26.02</v>
      </c>
      <c r="G10" s="3" t="n">
        <f aca="false">MAX('Run 1'!E10,'Run 2'!E10,'Run 3'!E10,'Run 4'!E10,'Run 5'!E10,'Run 6'!E10,'Run 7'!E10,'Run 8'!E10,'Run 9'!E10,'Run 10'!E10,'Run 11'!E10)</f>
        <v>31.15</v>
      </c>
      <c r="H10" s="1" t="n">
        <f aca="false">COUNTIF('Run 1'!I10,"Yes")+COUNTIF('Run 2'!I10,"Yes")+COUNTIF('Run 3'!I10,"Yes")+COUNTIF('Run 4'!I10,"Yes")+COUNTIF('Run 5'!I10,"Yes")+COUNTIF('Run 6'!I10,"Yes")+COUNTIF('Run 7'!I10,"Yes")+COUNTIF('Run 8'!I10,"Yes")+COUNTIF('Run 9'!I10,"Yes")+COUNTIF('Run 10'!I10,"Yes")+COUNTIF('Run 11'!I10,"Yes")</f>
        <v>0</v>
      </c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f aca="false">MEDIAN('Run 1'!E11,'Run 2'!E11,'Run 3'!E11,'Run 4'!E11,'Run 5'!E11,'Run 6'!E11,'Run 7'!E11,'Run 8'!E11,'Run 9'!E11,'Run 10'!E11,'Run 11'!E11)</f>
        <v>24.19</v>
      </c>
      <c r="F11" s="3" t="n">
        <f aca="false">MIN('Run 1'!E11,'Run 2'!E11,'Run 3'!E11,'Run 4'!E11,'Run 5'!E11,'Run 6'!E11,'Run 7'!E11,'Run 8'!E11,'Run 9'!E11,'Run 10'!E11,'Run 11'!E11)</f>
        <v>23.79</v>
      </c>
      <c r="G11" s="3" t="n">
        <f aca="false">MAX('Run 1'!E11,'Run 2'!E11,'Run 3'!E11,'Run 4'!E11,'Run 5'!E11,'Run 6'!E11,'Run 7'!E11,'Run 8'!E11,'Run 9'!E11,'Run 10'!E11,'Run 11'!E11)</f>
        <v>25.08</v>
      </c>
      <c r="H11" s="1" t="n">
        <f aca="false">COUNTIF('Run 1'!I11,"Yes")+COUNTIF('Run 2'!I11,"Yes")+COUNTIF('Run 3'!I11,"Yes")+COUNTIF('Run 4'!I11,"Yes")+COUNTIF('Run 5'!I11,"Yes")+COUNTIF('Run 6'!I11,"Yes")+COUNTIF('Run 7'!I11,"Yes")+COUNTIF('Run 8'!I11,"Yes")+COUNTIF('Run 9'!I11,"Yes")+COUNTIF('Run 10'!I11,"Yes")+COUNTIF('Run 11'!I11,"Yes")</f>
        <v>0</v>
      </c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f aca="false">MEDIAN('Run 1'!E12,'Run 2'!E12,'Run 3'!E12,'Run 4'!E12,'Run 5'!E12,'Run 6'!E12,'Run 7'!E12,'Run 8'!E12,'Run 9'!E12,'Run 10'!E12,'Run 11'!E12)</f>
        <v>17.98</v>
      </c>
      <c r="F12" s="3" t="n">
        <f aca="false">MIN('Run 1'!E12,'Run 2'!E12,'Run 3'!E12,'Run 4'!E12,'Run 5'!E12,'Run 6'!E12,'Run 7'!E12,'Run 8'!E12,'Run 9'!E12,'Run 10'!E12,'Run 11'!E12)</f>
        <v>17.46</v>
      </c>
      <c r="G12" s="3" t="n">
        <f aca="false">MAX('Run 1'!E12,'Run 2'!E12,'Run 3'!E12,'Run 4'!E12,'Run 5'!E12,'Run 6'!E12,'Run 7'!E12,'Run 8'!E12,'Run 9'!E12,'Run 10'!E12,'Run 11'!E12)</f>
        <v>22.37</v>
      </c>
      <c r="H12" s="1" t="n">
        <f aca="false">COUNTIF('Run 1'!I12,"Yes")+COUNTIF('Run 2'!I12,"Yes")+COUNTIF('Run 3'!I12,"Yes")+COUNTIF('Run 4'!I12,"Yes")+COUNTIF('Run 5'!I12,"Yes")+COUNTIF('Run 6'!I12,"Yes")+COUNTIF('Run 7'!I12,"Yes")+COUNTIF('Run 8'!I12,"Yes")+COUNTIF('Run 9'!I12,"Yes")+COUNTIF('Run 10'!I12,"Yes")+COUNTIF('Run 11'!I12,"Yes")</f>
        <v>0</v>
      </c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f aca="false">MEDIAN('Run 1'!E13,'Run 2'!E13,'Run 3'!E13,'Run 4'!E13,'Run 5'!E13,'Run 6'!E13,'Run 7'!E13,'Run 8'!E13,'Run 9'!E13,'Run 10'!E13,'Run 11'!E13)</f>
        <v>21.22</v>
      </c>
      <c r="F13" s="3" t="n">
        <f aca="false">MIN('Run 1'!E13,'Run 2'!E13,'Run 3'!E13,'Run 4'!E13,'Run 5'!E13,'Run 6'!E13,'Run 7'!E13,'Run 8'!E13,'Run 9'!E13,'Run 10'!E13,'Run 11'!E13)</f>
        <v>20.91</v>
      </c>
      <c r="G13" s="3" t="n">
        <f aca="false">MAX('Run 1'!E13,'Run 2'!E13,'Run 3'!E13,'Run 4'!E13,'Run 5'!E13,'Run 6'!E13,'Run 7'!E13,'Run 8'!E13,'Run 9'!E13,'Run 10'!E13,'Run 11'!E13)</f>
        <v>21.83</v>
      </c>
      <c r="H13" s="1" t="n">
        <f aca="false">COUNTIF('Run 1'!I13,"Yes")+COUNTIF('Run 2'!I13,"Yes")+COUNTIF('Run 3'!I13,"Yes")+COUNTIF('Run 4'!I13,"Yes")+COUNTIF('Run 5'!I13,"Yes")+COUNTIF('Run 6'!I13,"Yes")+COUNTIF('Run 7'!I13,"Yes")+COUNTIF('Run 8'!I13,"Yes")+COUNTIF('Run 9'!I13,"Yes")+COUNTIF('Run 10'!I13,"Yes")+COUNTIF('Run 11'!I13,"Yes")</f>
        <v>0</v>
      </c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f aca="false">MEDIAN('Run 1'!E14,'Run 2'!E14,'Run 3'!E14,'Run 4'!E14,'Run 5'!E14,'Run 6'!E14,'Run 7'!E14,'Run 8'!E14,'Run 9'!E14,'Run 10'!E14,'Run 11'!E14)</f>
        <v>103.22</v>
      </c>
      <c r="F14" s="3" t="n">
        <f aca="false">MIN('Run 1'!E14,'Run 2'!E14,'Run 3'!E14,'Run 4'!E14,'Run 5'!E14,'Run 6'!E14,'Run 7'!E14,'Run 8'!E14,'Run 9'!E14,'Run 10'!E14,'Run 11'!E14)</f>
        <v>100.69</v>
      </c>
      <c r="G14" s="3" t="n">
        <f aca="false">MAX('Run 1'!E14,'Run 2'!E14,'Run 3'!E14,'Run 4'!E14,'Run 5'!E14,'Run 6'!E14,'Run 7'!E14,'Run 8'!E14,'Run 9'!E14,'Run 10'!E14,'Run 11'!E14)</f>
        <v>106.37</v>
      </c>
      <c r="H14" s="1" t="n">
        <f aca="false">COUNTIF('Run 1'!I14,"Yes")+COUNTIF('Run 2'!I14,"Yes")+COUNTIF('Run 3'!I14,"Yes")+COUNTIF('Run 4'!I14,"Yes")+COUNTIF('Run 5'!I14,"Yes")+COUNTIF('Run 6'!I14,"Yes")+COUNTIF('Run 7'!I14,"Yes")+COUNTIF('Run 8'!I14,"Yes")+COUNTIF('Run 9'!I14,"Yes")+COUNTIF('Run 10'!I14,"Yes")+COUNTIF('Run 11'!I14,"Yes")</f>
        <v>0</v>
      </c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f aca="false">MEDIAN('Run 1'!E15,'Run 2'!E15,'Run 3'!E15,'Run 4'!E15,'Run 5'!E15,'Run 6'!E15,'Run 7'!E15,'Run 8'!E15,'Run 9'!E15,'Run 10'!E15,'Run 11'!E15)</f>
        <v>97.5</v>
      </c>
      <c r="F15" s="3" t="n">
        <f aca="false">MIN('Run 1'!E15,'Run 2'!E15,'Run 3'!E15,'Run 4'!E15,'Run 5'!E15,'Run 6'!E15,'Run 7'!E15,'Run 8'!E15,'Run 9'!E15,'Run 10'!E15,'Run 11'!E15)</f>
        <v>95.37</v>
      </c>
      <c r="G15" s="3" t="n">
        <f aca="false">MAX('Run 1'!E15,'Run 2'!E15,'Run 3'!E15,'Run 4'!E15,'Run 5'!E15,'Run 6'!E15,'Run 7'!E15,'Run 8'!E15,'Run 9'!E15,'Run 10'!E15,'Run 11'!E15)</f>
        <v>99.87</v>
      </c>
      <c r="H15" s="1" t="n">
        <f aca="false">COUNTIF('Run 1'!I15,"Yes")+COUNTIF('Run 2'!I15,"Yes")+COUNTIF('Run 3'!I15,"Yes")+COUNTIF('Run 4'!I15,"Yes")+COUNTIF('Run 5'!I15,"Yes")+COUNTIF('Run 6'!I15,"Yes")+COUNTIF('Run 7'!I15,"Yes")+COUNTIF('Run 8'!I15,"Yes")+COUNTIF('Run 9'!I15,"Yes")+COUNTIF('Run 10'!I15,"Yes")+COUNTIF('Run 11'!I15,"Yes")</f>
        <v>0</v>
      </c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f aca="false">MEDIAN('Run 1'!E16,'Run 2'!E16,'Run 3'!E16,'Run 4'!E16,'Run 5'!E16,'Run 6'!E16,'Run 7'!E16,'Run 8'!E16,'Run 9'!E16,'Run 10'!E16,'Run 11'!E16)</f>
        <v>40.84</v>
      </c>
      <c r="F16" s="3" t="n">
        <f aca="false">MIN('Run 1'!E16,'Run 2'!E16,'Run 3'!E16,'Run 4'!E16,'Run 5'!E16,'Run 6'!E16,'Run 7'!E16,'Run 8'!E16,'Run 9'!E16,'Run 10'!E16,'Run 11'!E16)</f>
        <v>39.98</v>
      </c>
      <c r="G16" s="3" t="n">
        <f aca="false">MAX('Run 1'!E16,'Run 2'!E16,'Run 3'!E16,'Run 4'!E16,'Run 5'!E16,'Run 6'!E16,'Run 7'!E16,'Run 8'!E16,'Run 9'!E16,'Run 10'!E16,'Run 11'!E16)</f>
        <v>77.69</v>
      </c>
      <c r="H16" s="1" t="n">
        <f aca="false">COUNTIF('Run 1'!I16,"Yes")+COUNTIF('Run 2'!I16,"Yes")+COUNTIF('Run 3'!I16,"Yes")+COUNTIF('Run 4'!I16,"Yes")+COUNTIF('Run 5'!I16,"Yes")+COUNTIF('Run 6'!I16,"Yes")+COUNTIF('Run 7'!I16,"Yes")+COUNTIF('Run 8'!I16,"Yes")+COUNTIF('Run 9'!I16,"Yes")+COUNTIF('Run 10'!I16,"Yes")+COUNTIF('Run 11'!I16,"Yes")</f>
        <v>0</v>
      </c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f aca="false">MEDIAN('Run 1'!E17,'Run 2'!E17,'Run 3'!E17,'Run 4'!E17,'Run 5'!E17,'Run 6'!E17,'Run 7'!E17,'Run 8'!E17,'Run 9'!E17,'Run 10'!E17,'Run 11'!E17)</f>
        <v>36.67</v>
      </c>
      <c r="F17" s="3" t="n">
        <f aca="false">MIN('Run 1'!E17,'Run 2'!E17,'Run 3'!E17,'Run 4'!E17,'Run 5'!E17,'Run 6'!E17,'Run 7'!E17,'Run 8'!E17,'Run 9'!E17,'Run 10'!E17,'Run 11'!E17)</f>
        <v>36.27</v>
      </c>
      <c r="G17" s="3" t="n">
        <f aca="false">MAX('Run 1'!E17,'Run 2'!E17,'Run 3'!E17,'Run 4'!E17,'Run 5'!E17,'Run 6'!E17,'Run 7'!E17,'Run 8'!E17,'Run 9'!E17,'Run 10'!E17,'Run 11'!E17)</f>
        <v>37.67</v>
      </c>
      <c r="H17" s="1" t="n">
        <f aca="false">COUNTIF('Run 1'!I17,"Yes")+COUNTIF('Run 2'!I17,"Yes")+COUNTIF('Run 3'!I17,"Yes")+COUNTIF('Run 4'!I17,"Yes")+COUNTIF('Run 5'!I17,"Yes")+COUNTIF('Run 6'!I17,"Yes")+COUNTIF('Run 7'!I17,"Yes")+COUNTIF('Run 8'!I17,"Yes")+COUNTIF('Run 9'!I17,"Yes")+COUNTIF('Run 10'!I17,"Yes")+COUNTIF('Run 11'!I17,"Yes")</f>
        <v>0</v>
      </c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f aca="false">MEDIAN('Run 1'!E18,'Run 2'!E18,'Run 3'!E18,'Run 4'!E18,'Run 5'!E18,'Run 6'!E18,'Run 7'!E18,'Run 8'!E18,'Run 9'!E18,'Run 10'!E18,'Run 11'!E18)</f>
        <v>26.55</v>
      </c>
      <c r="F18" s="3" t="n">
        <f aca="false">MIN('Run 1'!E18,'Run 2'!E18,'Run 3'!E18,'Run 4'!E18,'Run 5'!E18,'Run 6'!E18,'Run 7'!E18,'Run 8'!E18,'Run 9'!E18,'Run 10'!E18,'Run 11'!E18)</f>
        <v>26.04</v>
      </c>
      <c r="G18" s="3" t="n">
        <f aca="false">MAX('Run 1'!E18,'Run 2'!E18,'Run 3'!E18,'Run 4'!E18,'Run 5'!E18,'Run 6'!E18,'Run 7'!E18,'Run 8'!E18,'Run 9'!E18,'Run 10'!E18,'Run 11'!E18)</f>
        <v>27.28</v>
      </c>
      <c r="H18" s="1" t="n">
        <f aca="false">COUNTIF('Run 1'!I18,"Yes")+COUNTIF('Run 2'!I18,"Yes")+COUNTIF('Run 3'!I18,"Yes")+COUNTIF('Run 4'!I18,"Yes")+COUNTIF('Run 5'!I18,"Yes")+COUNTIF('Run 6'!I18,"Yes")+COUNTIF('Run 7'!I18,"Yes")+COUNTIF('Run 8'!I18,"Yes")+COUNTIF('Run 9'!I18,"Yes")+COUNTIF('Run 10'!I18,"Yes")+COUNTIF('Run 11'!I18,"Yes")</f>
        <v>0</v>
      </c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f aca="false">MEDIAN('Run 1'!E19,'Run 2'!E19,'Run 3'!E19,'Run 4'!E19,'Run 5'!E19,'Run 6'!E19,'Run 7'!E19,'Run 8'!E19,'Run 9'!E19,'Run 10'!E19,'Run 11'!E19)</f>
        <v>30.06</v>
      </c>
      <c r="F19" s="3" t="n">
        <f aca="false">MIN('Run 1'!E19,'Run 2'!E19,'Run 3'!E19,'Run 4'!E19,'Run 5'!E19,'Run 6'!E19,'Run 7'!E19,'Run 8'!E19,'Run 9'!E19,'Run 10'!E19,'Run 11'!E19)</f>
        <v>28.87</v>
      </c>
      <c r="G19" s="3" t="n">
        <f aca="false">MAX('Run 1'!E19,'Run 2'!E19,'Run 3'!E19,'Run 4'!E19,'Run 5'!E19,'Run 6'!E19,'Run 7'!E19,'Run 8'!E19,'Run 9'!E19,'Run 10'!E19,'Run 11'!E19)</f>
        <v>30.66</v>
      </c>
      <c r="H19" s="1" t="n">
        <f aca="false">COUNTIF('Run 1'!I19,"Yes")+COUNTIF('Run 2'!I19,"Yes")+COUNTIF('Run 3'!I19,"Yes")+COUNTIF('Run 4'!I19,"Yes")+COUNTIF('Run 5'!I19,"Yes")+COUNTIF('Run 6'!I19,"Yes")+COUNTIF('Run 7'!I19,"Yes")+COUNTIF('Run 8'!I19,"Yes")+COUNTIF('Run 9'!I19,"Yes")+COUNTIF('Run 10'!I19,"Yes")+COUNTIF('Run 11'!I19,"Yes")</f>
        <v>0</v>
      </c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f aca="false">MEDIAN('Run 1'!E20,'Run 2'!E20,'Run 3'!E20,'Run 4'!E20,'Run 5'!E20,'Run 6'!E20,'Run 7'!E20,'Run 8'!E20,'Run 9'!E20,'Run 10'!E20,'Run 11'!E20)</f>
        <v>187.03</v>
      </c>
      <c r="F20" s="3" t="n">
        <f aca="false">MIN('Run 1'!E20,'Run 2'!E20,'Run 3'!E20,'Run 4'!E20,'Run 5'!E20,'Run 6'!E20,'Run 7'!E20,'Run 8'!E20,'Run 9'!E20,'Run 10'!E20,'Run 11'!E20)</f>
        <v>184</v>
      </c>
      <c r="G20" s="3" t="n">
        <f aca="false">MAX('Run 1'!E20,'Run 2'!E20,'Run 3'!E20,'Run 4'!E20,'Run 5'!E20,'Run 6'!E20,'Run 7'!E20,'Run 8'!E20,'Run 9'!E20,'Run 10'!E20,'Run 11'!E20)</f>
        <v>222.35</v>
      </c>
      <c r="H20" s="1" t="n">
        <f aca="false">COUNTIF('Run 1'!I20,"Yes")+COUNTIF('Run 2'!I20,"Yes")+COUNTIF('Run 3'!I20,"Yes")+COUNTIF('Run 4'!I20,"Yes")+COUNTIF('Run 5'!I20,"Yes")+COUNTIF('Run 6'!I20,"Yes")+COUNTIF('Run 7'!I20,"Yes")+COUNTIF('Run 8'!I20,"Yes")+COUNTIF('Run 9'!I20,"Yes")+COUNTIF('Run 10'!I20,"Yes")+COUNTIF('Run 11'!I20,"Yes")</f>
        <v>2</v>
      </c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f aca="false">MEDIAN('Run 1'!E21,'Run 2'!E21,'Run 3'!E21,'Run 4'!E21,'Run 5'!E21,'Run 6'!E21,'Run 7'!E21,'Run 8'!E21,'Run 9'!E21,'Run 10'!E21,'Run 11'!E21)</f>
        <v>181.95</v>
      </c>
      <c r="F21" s="3" t="n">
        <f aca="false">MIN('Run 1'!E21,'Run 2'!E21,'Run 3'!E21,'Run 4'!E21,'Run 5'!E21,'Run 6'!E21,'Run 7'!E21,'Run 8'!E21,'Run 9'!E21,'Run 10'!E21,'Run 11'!E21)</f>
        <v>175.95</v>
      </c>
      <c r="G21" s="3" t="n">
        <f aca="false">MAX('Run 1'!E21,'Run 2'!E21,'Run 3'!E21,'Run 4'!E21,'Run 5'!E21,'Run 6'!E21,'Run 7'!E21,'Run 8'!E21,'Run 9'!E21,'Run 10'!E21,'Run 11'!E21)</f>
        <v>241.52</v>
      </c>
      <c r="H21" s="1" t="n">
        <f aca="false">COUNTIF('Run 1'!I21,"Yes")+COUNTIF('Run 2'!I21,"Yes")+COUNTIF('Run 3'!I21,"Yes")+COUNTIF('Run 4'!I21,"Yes")+COUNTIF('Run 5'!I21,"Yes")+COUNTIF('Run 6'!I21,"Yes")+COUNTIF('Run 7'!I21,"Yes")+COUNTIF('Run 8'!I21,"Yes")+COUNTIF('Run 9'!I21,"Yes")+COUNTIF('Run 10'!I21,"Yes")+COUNTIF('Run 11'!I21,"Yes")</f>
        <v>3</v>
      </c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f aca="false">MEDIAN('Run 1'!E22,'Run 2'!E22,'Run 3'!E22,'Run 4'!E22,'Run 5'!E22,'Run 6'!E22,'Run 7'!E22,'Run 8'!E22,'Run 9'!E22,'Run 10'!E22,'Run 11'!E22)</f>
        <v>80.09</v>
      </c>
      <c r="F22" s="3" t="n">
        <f aca="false">MIN('Run 1'!E22,'Run 2'!E22,'Run 3'!E22,'Run 4'!E22,'Run 5'!E22,'Run 6'!E22,'Run 7'!E22,'Run 8'!E22,'Run 9'!E22,'Run 10'!E22,'Run 11'!E22)</f>
        <v>72.46</v>
      </c>
      <c r="G22" s="3" t="n">
        <f aca="false">MAX('Run 1'!E22,'Run 2'!E22,'Run 3'!E22,'Run 4'!E22,'Run 5'!E22,'Run 6'!E22,'Run 7'!E22,'Run 8'!E22,'Run 9'!E22,'Run 10'!E22,'Run 11'!E22)</f>
        <v>82.31</v>
      </c>
      <c r="H22" s="1" t="n">
        <f aca="false">COUNTIF('Run 1'!I22,"Yes")+COUNTIF('Run 2'!I22,"Yes")+COUNTIF('Run 3'!I22,"Yes")+COUNTIF('Run 4'!I22,"Yes")+COUNTIF('Run 5'!I22,"Yes")+COUNTIF('Run 6'!I22,"Yes")+COUNTIF('Run 7'!I22,"Yes")+COUNTIF('Run 8'!I22,"Yes")+COUNTIF('Run 9'!I22,"Yes")+COUNTIF('Run 10'!I22,"Yes")+COUNTIF('Run 11'!I22,"Yes")</f>
        <v>1</v>
      </c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f aca="false">MEDIAN('Run 1'!E23,'Run 2'!E23,'Run 3'!E23,'Run 4'!E23,'Run 5'!E23,'Run 6'!E23,'Run 7'!E23,'Run 8'!E23,'Run 9'!E23,'Run 10'!E23,'Run 11'!E23)</f>
        <v>71.67</v>
      </c>
      <c r="F23" s="3" t="n">
        <f aca="false">MIN('Run 1'!E23,'Run 2'!E23,'Run 3'!E23,'Run 4'!E23,'Run 5'!E23,'Run 6'!E23,'Run 7'!E23,'Run 8'!E23,'Run 9'!E23,'Run 10'!E23,'Run 11'!E23)</f>
        <v>70.34</v>
      </c>
      <c r="G23" s="3" t="n">
        <f aca="false">MAX('Run 1'!E23,'Run 2'!E23,'Run 3'!E23,'Run 4'!E23,'Run 5'!E23,'Run 6'!E23,'Run 7'!E23,'Run 8'!E23,'Run 9'!E23,'Run 10'!E23,'Run 11'!E23)</f>
        <v>77.86</v>
      </c>
      <c r="H23" s="1" t="n">
        <f aca="false">COUNTIF('Run 1'!I23,"Yes")+COUNTIF('Run 2'!I23,"Yes")+COUNTIF('Run 3'!I23,"Yes")+COUNTIF('Run 4'!I23,"Yes")+COUNTIF('Run 5'!I23,"Yes")+COUNTIF('Run 6'!I23,"Yes")+COUNTIF('Run 7'!I23,"Yes")+COUNTIF('Run 8'!I23,"Yes")+COUNTIF('Run 9'!I23,"Yes")+COUNTIF('Run 10'!I23,"Yes")+COUNTIF('Run 11'!I23,"Yes")</f>
        <v>0</v>
      </c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f aca="false">MEDIAN('Run 1'!E24,'Run 2'!E24,'Run 3'!E24,'Run 4'!E24,'Run 5'!E24,'Run 6'!E24,'Run 7'!E24,'Run 8'!E24,'Run 9'!E24,'Run 10'!E24,'Run 11'!E24)</f>
        <v>48.7</v>
      </c>
      <c r="F24" s="3" t="n">
        <f aca="false">MIN('Run 1'!E24,'Run 2'!E24,'Run 3'!E24,'Run 4'!E24,'Run 5'!E24,'Run 6'!E24,'Run 7'!E24,'Run 8'!E24,'Run 9'!E24,'Run 10'!E24,'Run 11'!E24)</f>
        <v>46.7</v>
      </c>
      <c r="G24" s="3" t="n">
        <f aca="false">MAX('Run 1'!E24,'Run 2'!E24,'Run 3'!E24,'Run 4'!E24,'Run 5'!E24,'Run 6'!E24,'Run 7'!E24,'Run 8'!E24,'Run 9'!E24,'Run 10'!E24,'Run 11'!E24)</f>
        <v>53.08</v>
      </c>
      <c r="H24" s="1" t="n">
        <f aca="false">COUNTIF('Run 1'!I24,"Yes")+COUNTIF('Run 2'!I24,"Yes")+COUNTIF('Run 3'!I24,"Yes")+COUNTIF('Run 4'!I24,"Yes")+COUNTIF('Run 5'!I24,"Yes")+COUNTIF('Run 6'!I24,"Yes")+COUNTIF('Run 7'!I24,"Yes")+COUNTIF('Run 8'!I24,"Yes")+COUNTIF('Run 9'!I24,"Yes")+COUNTIF('Run 10'!I24,"Yes")+COUNTIF('Run 11'!I24,"Yes")</f>
        <v>0</v>
      </c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f aca="false">MEDIAN('Run 1'!E25,'Run 2'!E25,'Run 3'!E25,'Run 4'!E25,'Run 5'!E25,'Run 6'!E25,'Run 7'!E25,'Run 8'!E25,'Run 9'!E25,'Run 10'!E25,'Run 11'!E25)</f>
        <v>52.11</v>
      </c>
      <c r="F25" s="3" t="n">
        <f aca="false">MIN('Run 1'!E25,'Run 2'!E25,'Run 3'!E25,'Run 4'!E25,'Run 5'!E25,'Run 6'!E25,'Run 7'!E25,'Run 8'!E25,'Run 9'!E25,'Run 10'!E25,'Run 11'!E25)</f>
        <v>49.94</v>
      </c>
      <c r="G25" s="3" t="n">
        <f aca="false">MAX('Run 1'!E25,'Run 2'!E25,'Run 3'!E25,'Run 4'!E25,'Run 5'!E25,'Run 6'!E25,'Run 7'!E25,'Run 8'!E25,'Run 9'!E25,'Run 10'!E25,'Run 11'!E25)</f>
        <v>59.01</v>
      </c>
      <c r="H25" s="1" t="n">
        <f aca="false">COUNTIF('Run 1'!I25,"Yes")+COUNTIF('Run 2'!I25,"Yes")+COUNTIF('Run 3'!I25,"Yes")+COUNTIF('Run 4'!I25,"Yes")+COUNTIF('Run 5'!I25,"Yes")+COUNTIF('Run 6'!I25,"Yes")+COUNTIF('Run 7'!I25,"Yes")+COUNTIF('Run 8'!I25,"Yes")+COUNTIF('Run 9'!I25,"Yes")+COUNTIF('Run 10'!I25,"Yes")+COUNTIF('Run 11'!I25,"Yes")</f>
        <v>2</v>
      </c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f aca="false">MEDIAN('Run 1'!E26,'Run 2'!E26,'Run 3'!E26,'Run 4'!E26,'Run 5'!E26,'Run 6'!E26,'Run 7'!E26,'Run 8'!E26,'Run 9'!E26,'Run 10'!E26,'Run 11'!E26)</f>
        <v>20</v>
      </c>
      <c r="F26" s="3" t="n">
        <f aca="false">MIN('Run 1'!E26,'Run 2'!E26,'Run 3'!E26,'Run 4'!E26,'Run 5'!E26,'Run 6'!E26,'Run 7'!E26,'Run 8'!E26,'Run 9'!E26,'Run 10'!E26,'Run 11'!E26)</f>
        <v>18.8</v>
      </c>
      <c r="G26" s="3" t="n">
        <f aca="false">MAX('Run 1'!E26,'Run 2'!E26,'Run 3'!E26,'Run 4'!E26,'Run 5'!E26,'Run 6'!E26,'Run 7'!E26,'Run 8'!E26,'Run 9'!E26,'Run 10'!E26,'Run 11'!E26)</f>
        <v>20.8</v>
      </c>
      <c r="H26" s="1" t="n">
        <f aca="false">COUNTIF('Run 1'!I26,"Yes")+COUNTIF('Run 2'!I26,"Yes")+COUNTIF('Run 3'!I26,"Yes")+COUNTIF('Run 4'!I26,"Yes")+COUNTIF('Run 5'!I26,"Yes")+COUNTIF('Run 6'!I26,"Yes")+COUNTIF('Run 7'!I26,"Yes")+COUNTIF('Run 8'!I26,"Yes")+COUNTIF('Run 9'!I26,"Yes")+COUNTIF('Run 10'!I26,"Yes")+COUNTIF('Run 11'!I26,"Yes")</f>
        <v>1</v>
      </c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f aca="false">MEDIAN('Run 1'!E27,'Run 2'!E27,'Run 3'!E27,'Run 4'!E27,'Run 5'!E27,'Run 6'!E27,'Run 7'!E27,'Run 8'!E27,'Run 9'!E27,'Run 10'!E27,'Run 11'!E27)</f>
        <v>56.38</v>
      </c>
      <c r="F27" s="3" t="n">
        <f aca="false">MIN('Run 1'!E27,'Run 2'!E27,'Run 3'!E27,'Run 4'!E27,'Run 5'!E27,'Run 6'!E27,'Run 7'!E27,'Run 8'!E27,'Run 9'!E27,'Run 10'!E27,'Run 11'!E27)</f>
        <v>54.57</v>
      </c>
      <c r="G27" s="3" t="n">
        <f aca="false">MAX('Run 1'!E27,'Run 2'!E27,'Run 3'!E27,'Run 4'!E27,'Run 5'!E27,'Run 6'!E27,'Run 7'!E27,'Run 8'!E27,'Run 9'!E27,'Run 10'!E27,'Run 11'!E27)</f>
        <v>58.09</v>
      </c>
      <c r="H27" s="1" t="n">
        <f aca="false">COUNTIF('Run 1'!I27,"Yes")+COUNTIF('Run 2'!I27,"Yes")+COUNTIF('Run 3'!I27,"Yes")+COUNTIF('Run 4'!I27,"Yes")+COUNTIF('Run 5'!I27,"Yes")+COUNTIF('Run 6'!I27,"Yes")+COUNTIF('Run 7'!I27,"Yes")+COUNTIF('Run 8'!I27,"Yes")+COUNTIF('Run 9'!I27,"Yes")+COUNTIF('Run 10'!I27,"Yes")+COUNTIF('Run 11'!I27,"Yes")</f>
        <v>0</v>
      </c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f aca="false">MEDIAN('Run 1'!E28,'Run 2'!E28,'Run 3'!E28,'Run 4'!E28,'Run 5'!E28,'Run 6'!E28,'Run 7'!E28,'Run 8'!E28,'Run 9'!E28,'Run 10'!E28,'Run 11'!E28)</f>
        <v>21.97</v>
      </c>
      <c r="F28" s="3" t="n">
        <f aca="false">MIN('Run 1'!E28,'Run 2'!E28,'Run 3'!E28,'Run 4'!E28,'Run 5'!E28,'Run 6'!E28,'Run 7'!E28,'Run 8'!E28,'Run 9'!E28,'Run 10'!E28,'Run 11'!E28)</f>
        <v>21.24</v>
      </c>
      <c r="G28" s="3" t="n">
        <f aca="false">MAX('Run 1'!E28,'Run 2'!E28,'Run 3'!E28,'Run 4'!E28,'Run 5'!E28,'Run 6'!E28,'Run 7'!E28,'Run 8'!E28,'Run 9'!E28,'Run 10'!E28,'Run 11'!E28)</f>
        <v>23.05</v>
      </c>
      <c r="H28" s="1" t="n">
        <f aca="false">COUNTIF('Run 1'!I28,"Yes")+COUNTIF('Run 2'!I28,"Yes")+COUNTIF('Run 3'!I28,"Yes")+COUNTIF('Run 4'!I28,"Yes")+COUNTIF('Run 5'!I28,"Yes")+COUNTIF('Run 6'!I28,"Yes")+COUNTIF('Run 7'!I28,"Yes")+COUNTIF('Run 8'!I28,"Yes")+COUNTIF('Run 9'!I28,"Yes")+COUNTIF('Run 10'!I28,"Yes")+COUNTIF('Run 11'!I28,"Yes")</f>
        <v>0</v>
      </c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f aca="false">MEDIAN('Run 1'!E29,'Run 2'!E29,'Run 3'!E29,'Run 4'!E29,'Run 5'!E29,'Run 6'!E29,'Run 7'!E29,'Run 8'!E29,'Run 9'!E29,'Run 10'!E29,'Run 11'!E29)</f>
        <v>36.62</v>
      </c>
      <c r="F29" s="3" t="n">
        <f aca="false">MIN('Run 1'!E29,'Run 2'!E29,'Run 3'!E29,'Run 4'!E29,'Run 5'!E29,'Run 6'!E29,'Run 7'!E29,'Run 8'!E29,'Run 9'!E29,'Run 10'!E29,'Run 11'!E29)</f>
        <v>35.56</v>
      </c>
      <c r="G29" s="3" t="n">
        <f aca="false">MAX('Run 1'!E29,'Run 2'!E29,'Run 3'!E29,'Run 4'!E29,'Run 5'!E29,'Run 6'!E29,'Run 7'!E29,'Run 8'!E29,'Run 9'!E29,'Run 10'!E29,'Run 11'!E29)</f>
        <v>40.47</v>
      </c>
      <c r="H29" s="1" t="n">
        <f aca="false">COUNTIF('Run 1'!I29,"Yes")+COUNTIF('Run 2'!I29,"Yes")+COUNTIF('Run 3'!I29,"Yes")+COUNTIF('Run 4'!I29,"Yes")+COUNTIF('Run 5'!I29,"Yes")+COUNTIF('Run 6'!I29,"Yes")+COUNTIF('Run 7'!I29,"Yes")+COUNTIF('Run 8'!I29,"Yes")+COUNTIF('Run 9'!I29,"Yes")+COUNTIF('Run 10'!I29,"Yes")+COUNTIF('Run 11'!I29,"Yes")</f>
        <v>1</v>
      </c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f aca="false">MEDIAN('Run 1'!E30,'Run 2'!E30,'Run 3'!E30,'Run 4'!E30,'Run 5'!E30,'Run 6'!E30,'Run 7'!E30,'Run 8'!E30,'Run 9'!E30,'Run 10'!E30,'Run 11'!E30)</f>
        <v>23.48</v>
      </c>
      <c r="F30" s="3" t="n">
        <f aca="false">MIN('Run 1'!E30,'Run 2'!E30,'Run 3'!E30,'Run 4'!E30,'Run 5'!E30,'Run 6'!E30,'Run 7'!E30,'Run 8'!E30,'Run 9'!E30,'Run 10'!E30,'Run 11'!E30)</f>
        <v>22.85</v>
      </c>
      <c r="G30" s="3" t="n">
        <f aca="false">MAX('Run 1'!E30,'Run 2'!E30,'Run 3'!E30,'Run 4'!E30,'Run 5'!E30,'Run 6'!E30,'Run 7'!E30,'Run 8'!E30,'Run 9'!E30,'Run 10'!E30,'Run 11'!E30)</f>
        <v>24.79</v>
      </c>
      <c r="H30" s="1" t="n">
        <f aca="false">COUNTIF('Run 1'!I30,"Yes")+COUNTIF('Run 2'!I30,"Yes")+COUNTIF('Run 3'!I30,"Yes")+COUNTIF('Run 4'!I30,"Yes")+COUNTIF('Run 5'!I30,"Yes")+COUNTIF('Run 6'!I30,"Yes")+COUNTIF('Run 7'!I30,"Yes")+COUNTIF('Run 8'!I30,"Yes")+COUNTIF('Run 9'!I30,"Yes")+COUNTIF('Run 10'!I30,"Yes")+COUNTIF('Run 11'!I30,"Yes")</f>
        <v>0</v>
      </c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f aca="false">MEDIAN('Run 1'!E31,'Run 2'!E31,'Run 3'!E31,'Run 4'!E31,'Run 5'!E31,'Run 6'!E31,'Run 7'!E31,'Run 8'!E31,'Run 9'!E31,'Run 10'!E31,'Run 11'!E31)</f>
        <v>59.89</v>
      </c>
      <c r="F31" s="3" t="n">
        <f aca="false">MIN('Run 1'!E31,'Run 2'!E31,'Run 3'!E31,'Run 4'!E31,'Run 5'!E31,'Run 6'!E31,'Run 7'!E31,'Run 8'!E31,'Run 9'!E31,'Run 10'!E31,'Run 11'!E31)</f>
        <v>59.21</v>
      </c>
      <c r="G31" s="3" t="n">
        <f aca="false">MAX('Run 1'!E31,'Run 2'!E31,'Run 3'!E31,'Run 4'!E31,'Run 5'!E31,'Run 6'!E31,'Run 7'!E31,'Run 8'!E31,'Run 9'!E31,'Run 10'!E31,'Run 11'!E31)</f>
        <v>62.28</v>
      </c>
      <c r="H31" s="1" t="n">
        <f aca="false">COUNTIF('Run 1'!I31,"Yes")+COUNTIF('Run 2'!I31,"Yes")+COUNTIF('Run 3'!I31,"Yes")+COUNTIF('Run 4'!I31,"Yes")+COUNTIF('Run 5'!I31,"Yes")+COUNTIF('Run 6'!I31,"Yes")+COUNTIF('Run 7'!I31,"Yes")+COUNTIF('Run 8'!I31,"Yes")+COUNTIF('Run 9'!I31,"Yes")+COUNTIF('Run 10'!I31,"Yes")+COUNTIF('Run 11'!I31,"Yes")</f>
        <v>0</v>
      </c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f aca="false">MEDIAN('Run 1'!E32,'Run 2'!E32,'Run 3'!E32,'Run 4'!E32,'Run 5'!E32,'Run 6'!E32,'Run 7'!E32,'Run 8'!E32,'Run 9'!E32,'Run 10'!E32,'Run 11'!E32)</f>
        <v>24.27</v>
      </c>
      <c r="F32" s="3" t="n">
        <f aca="false">MIN('Run 1'!E32,'Run 2'!E32,'Run 3'!E32,'Run 4'!E32,'Run 5'!E32,'Run 6'!E32,'Run 7'!E32,'Run 8'!E32,'Run 9'!E32,'Run 10'!E32,'Run 11'!E32)</f>
        <v>23.27</v>
      </c>
      <c r="G32" s="3" t="n">
        <f aca="false">MAX('Run 1'!E32,'Run 2'!E32,'Run 3'!E32,'Run 4'!E32,'Run 5'!E32,'Run 6'!E32,'Run 7'!E32,'Run 8'!E32,'Run 9'!E32,'Run 10'!E32,'Run 11'!E32)</f>
        <v>25.27</v>
      </c>
      <c r="H32" s="1" t="n">
        <f aca="false">COUNTIF('Run 1'!I32,"Yes")+COUNTIF('Run 2'!I32,"Yes")+COUNTIF('Run 3'!I32,"Yes")+COUNTIF('Run 4'!I32,"Yes")+COUNTIF('Run 5'!I32,"Yes")+COUNTIF('Run 6'!I32,"Yes")+COUNTIF('Run 7'!I32,"Yes")+COUNTIF('Run 8'!I32,"Yes")+COUNTIF('Run 9'!I32,"Yes")+COUNTIF('Run 10'!I32,"Yes")+COUNTIF('Run 11'!I32,"Yes")</f>
        <v>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f aca="false">MEDIAN('Run 1'!E33,'Run 2'!E33,'Run 3'!E33,'Run 4'!E33,'Run 5'!E33,'Run 6'!E33,'Run 7'!E33,'Run 8'!E33,'Run 9'!E33,'Run 10'!E33,'Run 11'!E33)</f>
        <v>72.39</v>
      </c>
      <c r="F33" s="3" t="n">
        <f aca="false">MIN('Run 1'!E33,'Run 2'!E33,'Run 3'!E33,'Run 4'!E33,'Run 5'!E33,'Run 6'!E33,'Run 7'!E33,'Run 8'!E33,'Run 9'!E33,'Run 10'!E33,'Run 11'!E33)</f>
        <v>69.93</v>
      </c>
      <c r="G33" s="3" t="n">
        <f aca="false">MAX('Run 1'!E33,'Run 2'!E33,'Run 3'!E33,'Run 4'!E33,'Run 5'!E33,'Run 6'!E33,'Run 7'!E33,'Run 8'!E33,'Run 9'!E33,'Run 10'!E33,'Run 11'!E33)</f>
        <v>76.13</v>
      </c>
      <c r="H33" s="1" t="n">
        <f aca="false">COUNTIF('Run 1'!I33,"Yes")+COUNTIF('Run 2'!I33,"Yes")+COUNTIF('Run 3'!I33,"Yes")+COUNTIF('Run 4'!I33,"Yes")+COUNTIF('Run 5'!I33,"Yes")+COUNTIF('Run 6'!I33,"Yes")+COUNTIF('Run 7'!I33,"Yes")+COUNTIF('Run 8'!I33,"Yes")+COUNTIF('Run 9'!I33,"Yes")+COUNTIF('Run 10'!I33,"Yes")+COUNTIF('Run 11'!I33,"Yes")</f>
        <v>0</v>
      </c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f aca="false">MEDIAN('Run 1'!E34,'Run 2'!E34,'Run 3'!E34,'Run 4'!E34,'Run 5'!E34,'Run 6'!E34,'Run 7'!E34,'Run 8'!E34,'Run 9'!E34,'Run 10'!E34,'Run 11'!E34)</f>
        <v>28.84</v>
      </c>
      <c r="F34" s="3" t="n">
        <f aca="false">MIN('Run 1'!E34,'Run 2'!E34,'Run 3'!E34,'Run 4'!E34,'Run 5'!E34,'Run 6'!E34,'Run 7'!E34,'Run 8'!E34,'Run 9'!E34,'Run 10'!E34,'Run 11'!E34)</f>
        <v>28.26</v>
      </c>
      <c r="G34" s="3" t="n">
        <f aca="false">MAX('Run 1'!E34,'Run 2'!E34,'Run 3'!E34,'Run 4'!E34,'Run 5'!E34,'Run 6'!E34,'Run 7'!E34,'Run 8'!E34,'Run 9'!E34,'Run 10'!E34,'Run 11'!E34)</f>
        <v>62.25</v>
      </c>
      <c r="H34" s="1" t="n">
        <f aca="false">COUNTIF('Run 1'!I34,"Yes")+COUNTIF('Run 2'!I34,"Yes")+COUNTIF('Run 3'!I34,"Yes")+COUNTIF('Run 4'!I34,"Yes")+COUNTIF('Run 5'!I34,"Yes")+COUNTIF('Run 6'!I34,"Yes")+COUNTIF('Run 7'!I34,"Yes")+COUNTIF('Run 8'!I34,"Yes")+COUNTIF('Run 9'!I34,"Yes")+COUNTIF('Run 10'!I34,"Yes")+COUNTIF('Run 11'!I34,"Yes")</f>
        <v>5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f aca="false">MEDIAN('Run 1'!E35,'Run 2'!E35,'Run 3'!E35,'Run 4'!E35,'Run 5'!E35,'Run 6'!E35,'Run 7'!E35,'Run 8'!E35,'Run 9'!E35,'Run 10'!E35,'Run 11'!E35)</f>
        <v>57.78</v>
      </c>
      <c r="F35" s="3" t="n">
        <f aca="false">MIN('Run 1'!E35,'Run 2'!E35,'Run 3'!E35,'Run 4'!E35,'Run 5'!E35,'Run 6'!E35,'Run 7'!E35,'Run 8'!E35,'Run 9'!E35,'Run 10'!E35,'Run 11'!E35)</f>
        <v>56.59</v>
      </c>
      <c r="G35" s="3" t="n">
        <f aca="false">MAX('Run 1'!E35,'Run 2'!E35,'Run 3'!E35,'Run 4'!E35,'Run 5'!E35,'Run 6'!E35,'Run 7'!E35,'Run 8'!E35,'Run 9'!E35,'Run 10'!E35,'Run 11'!E35)</f>
        <v>101.74</v>
      </c>
      <c r="H35" s="1" t="n">
        <f aca="false">COUNTIF('Run 1'!I35,"Yes")+COUNTIF('Run 2'!I35,"Yes")+COUNTIF('Run 3'!I35,"Yes")+COUNTIF('Run 4'!I35,"Yes")+COUNTIF('Run 5'!I35,"Yes")+COUNTIF('Run 6'!I35,"Yes")+COUNTIF('Run 7'!I35,"Yes")+COUNTIF('Run 8'!I35,"Yes")+COUNTIF('Run 9'!I35,"Yes")+COUNTIF('Run 10'!I35,"Yes")+COUNTIF('Run 11'!I35,"Yes")</f>
        <v>3</v>
      </c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f aca="false">MEDIAN('Run 1'!E36,'Run 2'!E36,'Run 3'!E36,'Run 4'!E36,'Run 5'!E36,'Run 6'!E36,'Run 7'!E36,'Run 8'!E36,'Run 9'!E36,'Run 10'!E36,'Run 11'!E36)</f>
        <v>25.91</v>
      </c>
      <c r="F36" s="3" t="n">
        <f aca="false">MIN('Run 1'!E36,'Run 2'!E36,'Run 3'!E36,'Run 4'!E36,'Run 5'!E36,'Run 6'!E36,'Run 7'!E36,'Run 8'!E36,'Run 9'!E36,'Run 10'!E36,'Run 11'!E36)</f>
        <v>25.52</v>
      </c>
      <c r="G36" s="3" t="n">
        <f aca="false">MAX('Run 1'!E36,'Run 2'!E36,'Run 3'!E36,'Run 4'!E36,'Run 5'!E36,'Run 6'!E36,'Run 7'!E36,'Run 8'!E36,'Run 9'!E36,'Run 10'!E36,'Run 11'!E36)</f>
        <v>27.38</v>
      </c>
      <c r="H36" s="1" t="n">
        <f aca="false">COUNTIF('Run 1'!I36,"Yes")+COUNTIF('Run 2'!I36,"Yes")+COUNTIF('Run 3'!I36,"Yes")+COUNTIF('Run 4'!I36,"Yes")+COUNTIF('Run 5'!I36,"Yes")+COUNTIF('Run 6'!I36,"Yes")+COUNTIF('Run 7'!I36,"Yes")+COUNTIF('Run 8'!I36,"Yes")+COUNTIF('Run 9'!I36,"Yes")+COUNTIF('Run 10'!I36,"Yes")+COUNTIF('Run 11'!I36,"Yes")</f>
        <v>3</v>
      </c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f aca="false">MEDIAN('Run 1'!E37,'Run 2'!E37,'Run 3'!E37,'Run 4'!E37,'Run 5'!E37,'Run 6'!E37,'Run 7'!E37,'Run 8'!E37,'Run 9'!E37,'Run 10'!E37,'Run 11'!E37)</f>
        <v>78.66</v>
      </c>
      <c r="F37" s="3" t="n">
        <f aca="false">MIN('Run 1'!E37,'Run 2'!E37,'Run 3'!E37,'Run 4'!E37,'Run 5'!E37,'Run 6'!E37,'Run 7'!E37,'Run 8'!E37,'Run 9'!E37,'Run 10'!E37,'Run 11'!E37)</f>
        <v>75.91</v>
      </c>
      <c r="G37" s="3" t="n">
        <f aca="false">MAX('Run 1'!E37,'Run 2'!E37,'Run 3'!E37,'Run 4'!E37,'Run 5'!E37,'Run 6'!E37,'Run 7'!E37,'Run 8'!E37,'Run 9'!E37,'Run 10'!E37,'Run 11'!E37)</f>
        <v>88.27</v>
      </c>
      <c r="H37" s="1" t="n">
        <f aca="false">COUNTIF('Run 1'!I37,"Yes")+COUNTIF('Run 2'!I37,"Yes")+COUNTIF('Run 3'!I37,"Yes")+COUNTIF('Run 4'!I37,"Yes")+COUNTIF('Run 5'!I37,"Yes")+COUNTIF('Run 6'!I37,"Yes")+COUNTIF('Run 7'!I37,"Yes")+COUNTIF('Run 8'!I37,"Yes")+COUNTIF('Run 9'!I37,"Yes")+COUNTIF('Run 10'!I37,"Yes")+COUNTIF('Run 11'!I37,"Yes")</f>
        <v>0</v>
      </c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f aca="false">MEDIAN('Run 1'!E38,'Run 2'!E38,'Run 3'!E38,'Run 4'!E38,'Run 5'!E38,'Run 6'!E38,'Run 7'!E38,'Run 8'!E38,'Run 9'!E38,'Run 10'!E38,'Run 11'!E38)</f>
        <v>57.7</v>
      </c>
      <c r="F38" s="3" t="n">
        <f aca="false">MIN('Run 1'!E38,'Run 2'!E38,'Run 3'!E38,'Run 4'!E38,'Run 5'!E38,'Run 6'!E38,'Run 7'!E38,'Run 8'!E38,'Run 9'!E38,'Run 10'!E38,'Run 11'!E38)</f>
        <v>56.06</v>
      </c>
      <c r="G38" s="3" t="n">
        <f aca="false">MAX('Run 1'!E38,'Run 2'!E38,'Run 3'!E38,'Run 4'!E38,'Run 5'!E38,'Run 6'!E38,'Run 7'!E38,'Run 8'!E38,'Run 9'!E38,'Run 10'!E38,'Run 11'!E38)</f>
        <v>60.17</v>
      </c>
      <c r="H38" s="1" t="n">
        <f aca="false">COUNTIF('Run 1'!I38,"Yes")+COUNTIF('Run 2'!I38,"Yes")+COUNTIF('Run 3'!I38,"Yes")+COUNTIF('Run 4'!I38,"Yes")+COUNTIF('Run 5'!I38,"Yes")+COUNTIF('Run 6'!I38,"Yes")+COUNTIF('Run 7'!I38,"Yes")+COUNTIF('Run 8'!I38,"Yes")+COUNTIF('Run 9'!I38,"Yes")+COUNTIF('Run 10'!I38,"Yes")+COUNTIF('Run 11'!I38,"Yes")</f>
        <v>4</v>
      </c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f aca="false">MEDIAN('Run 1'!E39,'Run 2'!E39,'Run 3'!E39,'Run 4'!E39,'Run 5'!E39,'Run 6'!E39,'Run 7'!E39,'Run 8'!E39,'Run 9'!E39,'Run 10'!E39,'Run 11'!E39)</f>
        <v>96.21</v>
      </c>
      <c r="F39" s="3" t="n">
        <f aca="false">MIN('Run 1'!E39,'Run 2'!E39,'Run 3'!E39,'Run 4'!E39,'Run 5'!E39,'Run 6'!E39,'Run 7'!E39,'Run 8'!E39,'Run 9'!E39,'Run 10'!E39,'Run 11'!E39)</f>
        <v>92.32</v>
      </c>
      <c r="G39" s="3" t="n">
        <f aca="false">MAX('Run 1'!E39,'Run 2'!E39,'Run 3'!E39,'Run 4'!E39,'Run 5'!E39,'Run 6'!E39,'Run 7'!E39,'Run 8'!E39,'Run 9'!E39,'Run 10'!E39,'Run 11'!E39)</f>
        <v>98.51</v>
      </c>
      <c r="H39" s="1" t="n">
        <f aca="false">COUNTIF('Run 1'!I39,"Yes")+COUNTIF('Run 2'!I39,"Yes")+COUNTIF('Run 3'!I39,"Yes")+COUNTIF('Run 4'!I39,"Yes")+COUNTIF('Run 5'!I39,"Yes")+COUNTIF('Run 6'!I39,"Yes")+COUNTIF('Run 7'!I39,"Yes")+COUNTIF('Run 8'!I39,"Yes")+COUNTIF('Run 9'!I39,"Yes")+COUNTIF('Run 10'!I39,"Yes")+COUNTIF('Run 11'!I39,"Yes")</f>
        <v>0</v>
      </c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f aca="false">MEDIAN('Run 1'!E40,'Run 2'!E40,'Run 3'!E40,'Run 4'!E40,'Run 5'!E40,'Run 6'!E40,'Run 7'!E40,'Run 8'!E40,'Run 9'!E40,'Run 10'!E40,'Run 11'!E40)</f>
        <v>71.89</v>
      </c>
      <c r="F40" s="3" t="n">
        <f aca="false">MIN('Run 1'!E40,'Run 2'!E40,'Run 3'!E40,'Run 4'!E40,'Run 5'!E40,'Run 6'!E40,'Run 7'!E40,'Run 8'!E40,'Run 9'!E40,'Run 10'!E40,'Run 11'!E40)</f>
        <v>50.42</v>
      </c>
      <c r="G40" s="3" t="n">
        <f aca="false">MAX('Run 1'!E40,'Run 2'!E40,'Run 3'!E40,'Run 4'!E40,'Run 5'!E40,'Run 6'!E40,'Run 7'!E40,'Run 8'!E40,'Run 9'!E40,'Run 10'!E40,'Run 11'!E40)</f>
        <v>89.08</v>
      </c>
      <c r="H40" s="1" t="n">
        <f aca="false">COUNTIF('Run 1'!I40,"Yes")+COUNTIF('Run 2'!I40,"Yes")+COUNTIF('Run 3'!I40,"Yes")+COUNTIF('Run 4'!I40,"Yes")+COUNTIF('Run 5'!I40,"Yes")+COUNTIF('Run 6'!I40,"Yes")+COUNTIF('Run 7'!I40,"Yes")+COUNTIF('Run 8'!I40,"Yes")+COUNTIF('Run 9'!I40,"Yes")+COUNTIF('Run 10'!I40,"Yes")+COUNTIF('Run 11'!I40,"Yes")</f>
        <v>8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f aca="false">MEDIAN('Run 1'!E41,'Run 2'!E41,'Run 3'!E41,'Run 4'!E41,'Run 5'!E41,'Run 6'!E41,'Run 7'!E41,'Run 8'!E41,'Run 9'!E41,'Run 10'!E41,'Run 11'!E41)</f>
        <v>102.77</v>
      </c>
      <c r="F41" s="3" t="n">
        <f aca="false">MIN('Run 1'!E41,'Run 2'!E41,'Run 3'!E41,'Run 4'!E41,'Run 5'!E41,'Run 6'!E41,'Run 7'!E41,'Run 8'!E41,'Run 9'!E41,'Run 10'!E41,'Run 11'!E41)</f>
        <v>94.14</v>
      </c>
      <c r="G41" s="3" t="n">
        <f aca="false">MAX('Run 1'!E41,'Run 2'!E41,'Run 3'!E41,'Run 4'!E41,'Run 5'!E41,'Run 6'!E41,'Run 7'!E41,'Run 8'!E41,'Run 9'!E41,'Run 10'!E41,'Run 11'!E41)</f>
        <v>114.07</v>
      </c>
      <c r="H41" s="1" t="n">
        <f aca="false">COUNTIF('Run 1'!I41,"Yes")+COUNTIF('Run 2'!I41,"Yes")+COUNTIF('Run 3'!I41,"Yes")+COUNTIF('Run 4'!I41,"Yes")+COUNTIF('Run 5'!I41,"Yes")+COUNTIF('Run 6'!I41,"Yes")+COUNTIF('Run 7'!I41,"Yes")+COUNTIF('Run 8'!I41,"Yes")+COUNTIF('Run 9'!I41,"Yes")+COUNTIF('Run 10'!I41,"Yes")+COUNTIF('Run 11'!I41,"Yes")</f>
        <v>8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f aca="false">MEDIAN('Run 1'!E42,'Run 2'!E42,'Run 3'!E42,'Run 4'!E42,'Run 5'!E42,'Run 6'!E42,'Run 7'!E42,'Run 8'!E42,'Run 9'!E42,'Run 10'!E42,'Run 11'!E42)</f>
        <v>31.47</v>
      </c>
      <c r="F42" s="3" t="n">
        <f aca="false">MIN('Run 1'!E42,'Run 2'!E42,'Run 3'!E42,'Run 4'!E42,'Run 5'!E42,'Run 6'!E42,'Run 7'!E42,'Run 8'!E42,'Run 9'!E42,'Run 10'!E42,'Run 11'!E42)</f>
        <v>30.37</v>
      </c>
      <c r="G42" s="3" t="n">
        <f aca="false">MAX('Run 1'!E42,'Run 2'!E42,'Run 3'!E42,'Run 4'!E42,'Run 5'!E42,'Run 6'!E42,'Run 7'!E42,'Run 8'!E42,'Run 9'!E42,'Run 10'!E42,'Run 11'!E42)</f>
        <v>31.92</v>
      </c>
      <c r="H42" s="1" t="n">
        <f aca="false">COUNTIF('Run 1'!I42,"Yes")+COUNTIF('Run 2'!I42,"Yes")+COUNTIF('Run 3'!I42,"Yes")+COUNTIF('Run 4'!I42,"Yes")+COUNTIF('Run 5'!I42,"Yes")+COUNTIF('Run 6'!I42,"Yes")+COUNTIF('Run 7'!I42,"Yes")+COUNTIF('Run 8'!I42,"Yes")+COUNTIF('Run 9'!I42,"Yes")+COUNTIF('Run 10'!I42,"Yes")+COUNTIF('Run 11'!I42,"Yes")</f>
        <v>0</v>
      </c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f aca="false">MEDIAN('Run 1'!E43,'Run 2'!E43,'Run 3'!E43,'Run 4'!E43,'Run 5'!E43,'Run 6'!E43,'Run 7'!E43,'Run 8'!E43,'Run 9'!E43,'Run 10'!E43,'Run 11'!E43)</f>
        <v>110.63</v>
      </c>
      <c r="F43" s="3" t="n">
        <f aca="false">MIN('Run 1'!E43,'Run 2'!E43,'Run 3'!E43,'Run 4'!E43,'Run 5'!E43,'Run 6'!E43,'Run 7'!E43,'Run 8'!E43,'Run 9'!E43,'Run 10'!E43,'Run 11'!E43)</f>
        <v>103.82</v>
      </c>
      <c r="G43" s="3" t="n">
        <f aca="false">MAX('Run 1'!E43,'Run 2'!E43,'Run 3'!E43,'Run 4'!E43,'Run 5'!E43,'Run 6'!E43,'Run 7'!E43,'Run 8'!E43,'Run 9'!E43,'Run 10'!E43,'Run 11'!E43)</f>
        <v>133.82</v>
      </c>
      <c r="H43" s="1" t="n">
        <f aca="false">COUNTIF('Run 1'!I43,"Yes")+COUNTIF('Run 2'!I43,"Yes")+COUNTIF('Run 3'!I43,"Yes")+COUNTIF('Run 4'!I43,"Yes")+COUNTIF('Run 5'!I43,"Yes")+COUNTIF('Run 6'!I43,"Yes")+COUNTIF('Run 7'!I43,"Yes")+COUNTIF('Run 8'!I43,"Yes")+COUNTIF('Run 9'!I43,"Yes")+COUNTIF('Run 10'!I43,"Yes")+COUNTIF('Run 11'!I43,"Yes")</f>
        <v>1</v>
      </c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f aca="false">MEDIAN('Run 1'!E44,'Run 2'!E44,'Run 3'!E44,'Run 4'!E44,'Run 5'!E44,'Run 6'!E44,'Run 7'!E44,'Run 8'!E44,'Run 9'!E44,'Run 10'!E44,'Run 11'!E44)</f>
        <v>77.17</v>
      </c>
      <c r="F44" s="3" t="n">
        <f aca="false">MIN('Run 1'!E44,'Run 2'!E44,'Run 3'!E44,'Run 4'!E44,'Run 5'!E44,'Run 6'!E44,'Run 7'!E44,'Run 8'!E44,'Run 9'!E44,'Run 10'!E44,'Run 11'!E44)</f>
        <v>73.86</v>
      </c>
      <c r="G44" s="3" t="n">
        <f aca="false">MAX('Run 1'!E44,'Run 2'!E44,'Run 3'!E44,'Run 4'!E44,'Run 5'!E44,'Run 6'!E44,'Run 7'!E44,'Run 8'!E44,'Run 9'!E44,'Run 10'!E44,'Run 11'!E44)</f>
        <v>87.67</v>
      </c>
      <c r="H44" s="1" t="n">
        <f aca="false">COUNTIF('Run 1'!I44,"Yes")+COUNTIF('Run 2'!I44,"Yes")+COUNTIF('Run 3'!I44,"Yes")+COUNTIF('Run 4'!I44,"Yes")+COUNTIF('Run 5'!I44,"Yes")+COUNTIF('Run 6'!I44,"Yes")+COUNTIF('Run 7'!I44,"Yes")+COUNTIF('Run 8'!I44,"Yes")+COUNTIF('Run 9'!I44,"Yes")+COUNTIF('Run 10'!I44,"Yes")+COUNTIF('Run 11'!I44,"Yes")</f>
        <v>11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f aca="false">MEDIAN('Run 1'!E45,'Run 2'!E45,'Run 3'!E45,'Run 4'!E45,'Run 5'!E45,'Run 6'!E45,'Run 7'!E45,'Run 8'!E45,'Run 9'!E45,'Run 10'!E45,'Run 11'!E45)</f>
        <v>155.58</v>
      </c>
      <c r="F45" s="3" t="n">
        <f aca="false">MIN('Run 1'!E45,'Run 2'!E45,'Run 3'!E45,'Run 4'!E45,'Run 5'!E45,'Run 6'!E45,'Run 7'!E45,'Run 8'!E45,'Run 9'!E45,'Run 10'!E45,'Run 11'!E45)</f>
        <v>146.82</v>
      </c>
      <c r="G45" s="3" t="n">
        <f aca="false">MAX('Run 1'!E45,'Run 2'!E45,'Run 3'!E45,'Run 4'!E45,'Run 5'!E45,'Run 6'!E45,'Run 7'!E45,'Run 8'!E45,'Run 9'!E45,'Run 10'!E45,'Run 11'!E45)</f>
        <v>172.95</v>
      </c>
      <c r="H45" s="1" t="n">
        <f aca="false">COUNTIF('Run 1'!I45,"Yes")+COUNTIF('Run 2'!I45,"Yes")+COUNTIF('Run 3'!I45,"Yes")+COUNTIF('Run 4'!I45,"Yes")+COUNTIF('Run 5'!I45,"Yes")+COUNTIF('Run 6'!I45,"Yes")+COUNTIF('Run 7'!I45,"Yes")+COUNTIF('Run 8'!I45,"Yes")+COUNTIF('Run 9'!I45,"Yes")+COUNTIF('Run 10'!I45,"Yes")+COUNTIF('Run 11'!I45,"Yes")</f>
        <v>0</v>
      </c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f aca="false">MEDIAN('Run 1'!E46,'Run 2'!E46,'Run 3'!E46,'Run 4'!E46,'Run 5'!E46,'Run 6'!E46,'Run 7'!E46,'Run 8'!E46,'Run 9'!E46,'Run 10'!E46,'Run 11'!E46)</f>
        <v>80.4</v>
      </c>
      <c r="F46" s="3" t="n">
        <f aca="false">MIN('Run 1'!E46,'Run 2'!E46,'Run 3'!E46,'Run 4'!E46,'Run 5'!E46,'Run 6'!E46,'Run 7'!E46,'Run 8'!E46,'Run 9'!E46,'Run 10'!E46,'Run 11'!E46)</f>
        <v>75.06</v>
      </c>
      <c r="G46" s="3" t="n">
        <f aca="false">MAX('Run 1'!E46,'Run 2'!E46,'Run 3'!E46,'Run 4'!E46,'Run 5'!E46,'Run 6'!E46,'Run 7'!E46,'Run 8'!E46,'Run 9'!E46,'Run 10'!E46,'Run 11'!E46)</f>
        <v>100.62</v>
      </c>
      <c r="H46" s="1" t="n">
        <f aca="false">COUNTIF('Run 1'!I46,"Yes")+COUNTIF('Run 2'!I46,"Yes")+COUNTIF('Run 3'!I46,"Yes")+COUNTIF('Run 4'!I46,"Yes")+COUNTIF('Run 5'!I46,"Yes")+COUNTIF('Run 6'!I46,"Yes")+COUNTIF('Run 7'!I46,"Yes")+COUNTIF('Run 8'!I46,"Yes")+COUNTIF('Run 9'!I46,"Yes")+COUNTIF('Run 10'!I46,"Yes")+COUNTIF('Run 11'!I46,"Yes")</f>
        <v>2</v>
      </c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f aca="false">MEDIAN('Run 1'!E47,'Run 2'!E47,'Run 3'!E47,'Run 4'!E47,'Run 5'!E47,'Run 6'!E47,'Run 7'!E47,'Run 8'!E47,'Run 9'!E47,'Run 10'!E47,'Run 11'!E47)</f>
        <v>191.79</v>
      </c>
      <c r="F47" s="3" t="n">
        <f aca="false">MIN('Run 1'!E47,'Run 2'!E47,'Run 3'!E47,'Run 4'!E47,'Run 5'!E47,'Run 6'!E47,'Run 7'!E47,'Run 8'!E47,'Run 9'!E47,'Run 10'!E47,'Run 11'!E47)</f>
        <v>182.16</v>
      </c>
      <c r="G47" s="3" t="n">
        <f aca="false">MAX('Run 1'!E47,'Run 2'!E47,'Run 3'!E47,'Run 4'!E47,'Run 5'!E47,'Run 6'!E47,'Run 7'!E47,'Run 8'!E47,'Run 9'!E47,'Run 10'!E47,'Run 11'!E47)</f>
        <v>253.56</v>
      </c>
      <c r="H47" s="1" t="n">
        <f aca="false">COUNTIF('Run 1'!I47,"Yes")+COUNTIF('Run 2'!I47,"Yes")+COUNTIF('Run 3'!I47,"Yes")+COUNTIF('Run 4'!I47,"Yes")+COUNTIF('Run 5'!I47,"Yes")+COUNTIF('Run 6'!I47,"Yes")+COUNTIF('Run 7'!I47,"Yes")+COUNTIF('Run 8'!I47,"Yes")+COUNTIF('Run 9'!I47,"Yes")+COUNTIF('Run 10'!I47,"Yes")+COUNTIF('Run 11'!I47,"Yes")</f>
        <v>2</v>
      </c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f aca="false">MEDIAN('Run 1'!E48,'Run 2'!E48,'Run 3'!E48,'Run 4'!E48,'Run 5'!E48,'Run 6'!E48,'Run 7'!E48,'Run 8'!E48,'Run 9'!E48,'Run 10'!E48,'Run 11'!E48)</f>
        <v>42.87</v>
      </c>
      <c r="F48" s="3" t="n">
        <f aca="false">MIN('Run 1'!E48,'Run 2'!E48,'Run 3'!E48,'Run 4'!E48,'Run 5'!E48,'Run 6'!E48,'Run 7'!E48,'Run 8'!E48,'Run 9'!E48,'Run 10'!E48,'Run 11'!E48)</f>
        <v>40.43</v>
      </c>
      <c r="G48" s="3" t="n">
        <f aca="false">MAX('Run 1'!E48,'Run 2'!E48,'Run 3'!E48,'Run 4'!E48,'Run 5'!E48,'Run 6'!E48,'Run 7'!E48,'Run 8'!E48,'Run 9'!E48,'Run 10'!E48,'Run 11'!E48)</f>
        <v>45.12</v>
      </c>
      <c r="H48" s="1" t="n">
        <f aca="false">COUNTIF('Run 1'!I48,"Yes")+COUNTIF('Run 2'!I48,"Yes")+COUNTIF('Run 3'!I48,"Yes")+COUNTIF('Run 4'!I48,"Yes")+COUNTIF('Run 5'!I48,"Yes")+COUNTIF('Run 6'!I48,"Yes")+COUNTIF('Run 7'!I48,"Yes")+COUNTIF('Run 8'!I48,"Yes")+COUNTIF('Run 9'!I48,"Yes")+COUNTIF('Run 10'!I48,"Yes")+COUNTIF('Run 11'!I48,"Yes")</f>
        <v>5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f aca="false">MEDIAN('Run 1'!E49,'Run 2'!E49,'Run 3'!E49,'Run 4'!E49,'Run 5'!E49,'Run 6'!E49,'Run 7'!E49,'Run 8'!E49,'Run 9'!E49,'Run 10'!E49,'Run 11'!E49)</f>
        <v>179.59</v>
      </c>
      <c r="F49" s="3" t="n">
        <f aca="false">MIN('Run 1'!E49,'Run 2'!E49,'Run 3'!E49,'Run 4'!E49,'Run 5'!E49,'Run 6'!E49,'Run 7'!E49,'Run 8'!E49,'Run 9'!E49,'Run 10'!E49,'Run 11'!E49)</f>
        <v>173.77</v>
      </c>
      <c r="G49" s="3" t="n">
        <f aca="false">MAX('Run 1'!E49,'Run 2'!E49,'Run 3'!E49,'Run 4'!E49,'Run 5'!E49,'Run 6'!E49,'Run 7'!E49,'Run 8'!E49,'Run 9'!E49,'Run 10'!E49,'Run 11'!E49)</f>
        <v>217.31</v>
      </c>
      <c r="H49" s="1" t="n">
        <f aca="false">COUNTIF('Run 1'!I49,"Yes")+COUNTIF('Run 2'!I49,"Yes")+COUNTIF('Run 3'!I49,"Yes")+COUNTIF('Run 4'!I49,"Yes")+COUNTIF('Run 5'!I49,"Yes")+COUNTIF('Run 6'!I49,"Yes")+COUNTIF('Run 7'!I49,"Yes")+COUNTIF('Run 8'!I49,"Yes")+COUNTIF('Run 9'!I49,"Yes")+COUNTIF('Run 10'!I49,"Yes")+COUNTIF('Run 11'!I49,"Yes")</f>
        <v>2</v>
      </c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f aca="false">MEDIAN('Run 1'!E50,'Run 2'!E50,'Run 3'!E50,'Run 4'!E50,'Run 5'!E50,'Run 6'!E50,'Run 7'!E50,'Run 8'!E50,'Run 9'!E50,'Run 10'!E50,'Run 11'!E50)</f>
        <v>17.5</v>
      </c>
      <c r="F50" s="3" t="n">
        <f aca="false">MIN('Run 1'!E50,'Run 2'!E50,'Run 3'!E50,'Run 4'!E50,'Run 5'!E50,'Run 6'!E50,'Run 7'!E50,'Run 8'!E50,'Run 9'!E50,'Run 10'!E50,'Run 11'!E50)</f>
        <v>16.58</v>
      </c>
      <c r="G50" s="3" t="n">
        <f aca="false">MAX('Run 1'!E50,'Run 2'!E50,'Run 3'!E50,'Run 4'!E50,'Run 5'!E50,'Run 6'!E50,'Run 7'!E50,'Run 8'!E50,'Run 9'!E50,'Run 10'!E50,'Run 11'!E50)</f>
        <v>18.52</v>
      </c>
      <c r="H50" s="1" t="n">
        <f aca="false">COUNTIF('Run 1'!I50,"Yes")+COUNTIF('Run 2'!I50,"Yes")+COUNTIF('Run 3'!I50,"Yes")+COUNTIF('Run 4'!I50,"Yes")+COUNTIF('Run 5'!I50,"Yes")+COUNTIF('Run 6'!I50,"Yes")+COUNTIF('Run 7'!I50,"Yes")+COUNTIF('Run 8'!I50,"Yes")+COUNTIF('Run 9'!I50,"Yes")+COUNTIF('Run 10'!I50,"Yes")+COUNTIF('Run 11'!I50,"Yes")</f>
        <v>0</v>
      </c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f aca="false">MEDIAN('Run 1'!E51,'Run 2'!E51,'Run 3'!E51,'Run 4'!E51,'Run 5'!E51,'Run 6'!E51,'Run 7'!E51,'Run 8'!E51,'Run 9'!E51,'Run 10'!E51,'Run 11'!E51)</f>
        <v>59.05</v>
      </c>
      <c r="F51" s="3" t="n">
        <f aca="false">MIN('Run 1'!E51,'Run 2'!E51,'Run 3'!E51,'Run 4'!E51,'Run 5'!E51,'Run 6'!E51,'Run 7'!E51,'Run 8'!E51,'Run 9'!E51,'Run 10'!E51,'Run 11'!E51)</f>
        <v>56.95</v>
      </c>
      <c r="G51" s="3" t="n">
        <f aca="false">MAX('Run 1'!E51,'Run 2'!E51,'Run 3'!E51,'Run 4'!E51,'Run 5'!E51,'Run 6'!E51,'Run 7'!E51,'Run 8'!E51,'Run 9'!E51,'Run 10'!E51,'Run 11'!E51)</f>
        <v>62.3</v>
      </c>
      <c r="H51" s="1" t="n">
        <f aca="false">COUNTIF('Run 1'!I51,"Yes")+COUNTIF('Run 2'!I51,"Yes")+COUNTIF('Run 3'!I51,"Yes")+COUNTIF('Run 4'!I51,"Yes")+COUNTIF('Run 5'!I51,"Yes")+COUNTIF('Run 6'!I51,"Yes")+COUNTIF('Run 7'!I51,"Yes")+COUNTIF('Run 8'!I51,"Yes")+COUNTIF('Run 9'!I51,"Yes")+COUNTIF('Run 10'!I51,"Yes")+COUNTIF('Run 11'!I51,"Yes")</f>
        <v>0</v>
      </c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f aca="false">MEDIAN('Run 1'!E52,'Run 2'!E52,'Run 3'!E52,'Run 4'!E52,'Run 5'!E52,'Run 6'!E52,'Run 7'!E52,'Run 8'!E52,'Run 9'!E52,'Run 10'!E52,'Run 11'!E52)</f>
        <v>14.74</v>
      </c>
      <c r="F52" s="3" t="n">
        <f aca="false">MIN('Run 1'!E52,'Run 2'!E52,'Run 3'!E52,'Run 4'!E52,'Run 5'!E52,'Run 6'!E52,'Run 7'!E52,'Run 8'!E52,'Run 9'!E52,'Run 10'!E52,'Run 11'!E52)</f>
        <v>13.75</v>
      </c>
      <c r="G52" s="3" t="n">
        <f aca="false">MAX('Run 1'!E52,'Run 2'!E52,'Run 3'!E52,'Run 4'!E52,'Run 5'!E52,'Run 6'!E52,'Run 7'!E52,'Run 8'!E52,'Run 9'!E52,'Run 10'!E52,'Run 11'!E52)</f>
        <v>15.98</v>
      </c>
      <c r="H52" s="1" t="n">
        <f aca="false">COUNTIF('Run 1'!I52,"Yes")+COUNTIF('Run 2'!I52,"Yes")+COUNTIF('Run 3'!I52,"Yes")+COUNTIF('Run 4'!I52,"Yes")+COUNTIF('Run 5'!I52,"Yes")+COUNTIF('Run 6'!I52,"Yes")+COUNTIF('Run 7'!I52,"Yes")+COUNTIF('Run 8'!I52,"Yes")+COUNTIF('Run 9'!I52,"Yes")+COUNTIF('Run 10'!I52,"Yes")+COUNTIF('Run 11'!I52,"Yes")</f>
        <v>5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f aca="false">MEDIAN('Run 1'!E53,'Run 2'!E53,'Run 3'!E53,'Run 4'!E53,'Run 5'!E53,'Run 6'!E53,'Run 7'!E53,'Run 8'!E53,'Run 9'!E53,'Run 10'!E53,'Run 11'!E53)</f>
        <v>38.79</v>
      </c>
      <c r="F53" s="3" t="n">
        <f aca="false">MIN('Run 1'!E53,'Run 2'!E53,'Run 3'!E53,'Run 4'!E53,'Run 5'!E53,'Run 6'!E53,'Run 7'!E53,'Run 8'!E53,'Run 9'!E53,'Run 10'!E53,'Run 11'!E53)</f>
        <v>36.52</v>
      </c>
      <c r="G53" s="3" t="n">
        <f aca="false">MAX('Run 1'!E53,'Run 2'!E53,'Run 3'!E53,'Run 4'!E53,'Run 5'!E53,'Run 6'!E53,'Run 7'!E53,'Run 8'!E53,'Run 9'!E53,'Run 10'!E53,'Run 11'!E53)</f>
        <v>40.61</v>
      </c>
      <c r="H53" s="1" t="n">
        <f aca="false">COUNTIF('Run 1'!I53,"Yes")+COUNTIF('Run 2'!I53,"Yes")+COUNTIF('Run 3'!I53,"Yes")+COUNTIF('Run 4'!I53,"Yes")+COUNTIF('Run 5'!I53,"Yes")+COUNTIF('Run 6'!I53,"Yes")+COUNTIF('Run 7'!I53,"Yes")+COUNTIF('Run 8'!I53,"Yes")+COUNTIF('Run 9'!I53,"Yes")+COUNTIF('Run 10'!I53,"Yes")+COUNTIF('Run 11'!I53,"Yes")</f>
        <v>0</v>
      </c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f aca="false">MEDIAN('Run 1'!E54,'Run 2'!E54,'Run 3'!E54,'Run 4'!E54,'Run 5'!E54,'Run 6'!E54,'Run 7'!E54,'Run 8'!E54,'Run 9'!E54,'Run 10'!E54,'Run 11'!E54)</f>
        <v>19.45</v>
      </c>
      <c r="F54" s="3" t="n">
        <f aca="false">MIN('Run 1'!E54,'Run 2'!E54,'Run 3'!E54,'Run 4'!E54,'Run 5'!E54,'Run 6'!E54,'Run 7'!E54,'Run 8'!E54,'Run 9'!E54,'Run 10'!E54,'Run 11'!E54)</f>
        <v>18.72</v>
      </c>
      <c r="G54" s="3" t="n">
        <f aca="false">MAX('Run 1'!E54,'Run 2'!E54,'Run 3'!E54,'Run 4'!E54,'Run 5'!E54,'Run 6'!E54,'Run 7'!E54,'Run 8'!E54,'Run 9'!E54,'Run 10'!E54,'Run 11'!E54)</f>
        <v>20.43</v>
      </c>
      <c r="H54" s="1" t="n">
        <f aca="false">COUNTIF('Run 1'!I54,"Yes")+COUNTIF('Run 2'!I54,"Yes")+COUNTIF('Run 3'!I54,"Yes")+COUNTIF('Run 4'!I54,"Yes")+COUNTIF('Run 5'!I54,"Yes")+COUNTIF('Run 6'!I54,"Yes")+COUNTIF('Run 7'!I54,"Yes")+COUNTIF('Run 8'!I54,"Yes")+COUNTIF('Run 9'!I54,"Yes")+COUNTIF('Run 10'!I54,"Yes")+COUNTIF('Run 11'!I54,"Yes")</f>
        <v>3</v>
      </c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f aca="false">MEDIAN('Run 1'!E55,'Run 2'!E55,'Run 3'!E55,'Run 4'!E55,'Run 5'!E55,'Run 6'!E55,'Run 7'!E55,'Run 8'!E55,'Run 9'!E55,'Run 10'!E55,'Run 11'!E55)</f>
        <v>62.71</v>
      </c>
      <c r="F55" s="3" t="n">
        <f aca="false">MIN('Run 1'!E55,'Run 2'!E55,'Run 3'!E55,'Run 4'!E55,'Run 5'!E55,'Run 6'!E55,'Run 7'!E55,'Run 8'!E55,'Run 9'!E55,'Run 10'!E55,'Run 11'!E55)</f>
        <v>59.07</v>
      </c>
      <c r="G55" s="3" t="n">
        <f aca="false">MAX('Run 1'!E55,'Run 2'!E55,'Run 3'!E55,'Run 4'!E55,'Run 5'!E55,'Run 6'!E55,'Run 7'!E55,'Run 8'!E55,'Run 9'!E55,'Run 10'!E55,'Run 11'!E55)</f>
        <v>64.55</v>
      </c>
      <c r="H55" s="1" t="n">
        <f aca="false">COUNTIF('Run 1'!I55,"Yes")+COUNTIF('Run 2'!I55,"Yes")+COUNTIF('Run 3'!I55,"Yes")+COUNTIF('Run 4'!I55,"Yes")+COUNTIF('Run 5'!I55,"Yes")+COUNTIF('Run 6'!I55,"Yes")+COUNTIF('Run 7'!I55,"Yes")+COUNTIF('Run 8'!I55,"Yes")+COUNTIF('Run 9'!I55,"Yes")+COUNTIF('Run 10'!I55,"Yes")+COUNTIF('Run 11'!I55,"Yes")</f>
        <v>0</v>
      </c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f aca="false">MEDIAN('Run 1'!E56,'Run 2'!E56,'Run 3'!E56,'Run 4'!E56,'Run 5'!E56,'Run 6'!E56,'Run 7'!E56,'Run 8'!E56,'Run 9'!E56,'Run 10'!E56,'Run 11'!E56)</f>
        <v>18.63</v>
      </c>
      <c r="F56" s="3" t="n">
        <f aca="false">MIN('Run 1'!E56,'Run 2'!E56,'Run 3'!E56,'Run 4'!E56,'Run 5'!E56,'Run 6'!E56,'Run 7'!E56,'Run 8'!E56,'Run 9'!E56,'Run 10'!E56,'Run 11'!E56)</f>
        <v>17.92</v>
      </c>
      <c r="G56" s="3" t="n">
        <f aca="false">MAX('Run 1'!E56,'Run 2'!E56,'Run 3'!E56,'Run 4'!E56,'Run 5'!E56,'Run 6'!E56,'Run 7'!E56,'Run 8'!E56,'Run 9'!E56,'Run 10'!E56,'Run 11'!E56)</f>
        <v>19.03</v>
      </c>
      <c r="H56" s="1" t="n">
        <f aca="false">COUNTIF('Run 1'!I56,"Yes")+COUNTIF('Run 2'!I56,"Yes")+COUNTIF('Run 3'!I56,"Yes")+COUNTIF('Run 4'!I56,"Yes")+COUNTIF('Run 5'!I56,"Yes")+COUNTIF('Run 6'!I56,"Yes")+COUNTIF('Run 7'!I56,"Yes")+COUNTIF('Run 8'!I56,"Yes")+COUNTIF('Run 9'!I56,"Yes")+COUNTIF('Run 10'!I56,"Yes")+COUNTIF('Run 11'!I56,"Yes")</f>
        <v>7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f aca="false">MEDIAN('Run 1'!E57,'Run 2'!E57,'Run 3'!E57,'Run 4'!E57,'Run 5'!E57,'Run 6'!E57,'Run 7'!E57,'Run 8'!E57,'Run 9'!E57,'Run 10'!E57,'Run 11'!E57)</f>
        <v>82.14</v>
      </c>
      <c r="F57" s="3" t="n">
        <f aca="false">MIN('Run 1'!E57,'Run 2'!E57,'Run 3'!E57,'Run 4'!E57,'Run 5'!E57,'Run 6'!E57,'Run 7'!E57,'Run 8'!E57,'Run 9'!E57,'Run 10'!E57,'Run 11'!E57)</f>
        <v>79.12</v>
      </c>
      <c r="G57" s="3" t="n">
        <f aca="false">MAX('Run 1'!E57,'Run 2'!E57,'Run 3'!E57,'Run 4'!E57,'Run 5'!E57,'Run 6'!E57,'Run 7'!E57,'Run 8'!E57,'Run 9'!E57,'Run 10'!E57,'Run 11'!E57)</f>
        <v>86.86</v>
      </c>
      <c r="H57" s="1" t="n">
        <f aca="false">COUNTIF('Run 1'!I57,"Yes")+COUNTIF('Run 2'!I57,"Yes")+COUNTIF('Run 3'!I57,"Yes")+COUNTIF('Run 4'!I57,"Yes")+COUNTIF('Run 5'!I57,"Yes")+COUNTIF('Run 6'!I57,"Yes")+COUNTIF('Run 7'!I57,"Yes")+COUNTIF('Run 8'!I57,"Yes")+COUNTIF('Run 9'!I57,"Yes")+COUNTIF('Run 10'!I57,"Yes")+COUNTIF('Run 11'!I57,"Yes")</f>
        <v>0</v>
      </c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f aca="false">MEDIAN('Run 1'!E58,'Run 2'!E58,'Run 3'!E58,'Run 4'!E58,'Run 5'!E58,'Run 6'!E58,'Run 7'!E58,'Run 8'!E58,'Run 9'!E58,'Run 10'!E58,'Run 11'!E58)</f>
        <v>16.89</v>
      </c>
      <c r="F58" s="3" t="n">
        <f aca="false">MIN('Run 1'!E58,'Run 2'!E58,'Run 3'!E58,'Run 4'!E58,'Run 5'!E58,'Run 6'!E58,'Run 7'!E58,'Run 8'!E58,'Run 9'!E58,'Run 10'!E58,'Run 11'!E58)</f>
        <v>15.5</v>
      </c>
      <c r="G58" s="3" t="n">
        <f aca="false">MAX('Run 1'!E58,'Run 2'!E58,'Run 3'!E58,'Run 4'!E58,'Run 5'!E58,'Run 6'!E58,'Run 7'!E58,'Run 8'!E58,'Run 9'!E58,'Run 10'!E58,'Run 11'!E58)</f>
        <v>18.46</v>
      </c>
      <c r="H58" s="1" t="n">
        <f aca="false">COUNTIF('Run 1'!I58,"Yes")+COUNTIF('Run 2'!I58,"Yes")+COUNTIF('Run 3'!I58,"Yes")+COUNTIF('Run 4'!I58,"Yes")+COUNTIF('Run 5'!I58,"Yes")+COUNTIF('Run 6'!I58,"Yes")+COUNTIF('Run 7'!I58,"Yes")+COUNTIF('Run 8'!I58,"Yes")+COUNTIF('Run 9'!I58,"Yes")+COUNTIF('Run 10'!I58,"Yes")+COUNTIF('Run 11'!I58,"Yes")</f>
        <v>8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f aca="false">MEDIAN('Run 1'!E59,'Run 2'!E59,'Run 3'!E59,'Run 4'!E59,'Run 5'!E59,'Run 6'!E59,'Run 7'!E59,'Run 8'!E59,'Run 9'!E59,'Run 10'!E59,'Run 11'!E59)</f>
        <v>54.86</v>
      </c>
      <c r="F59" s="3" t="n">
        <f aca="false">MIN('Run 1'!E59,'Run 2'!E59,'Run 3'!E59,'Run 4'!E59,'Run 5'!E59,'Run 6'!E59,'Run 7'!E59,'Run 8'!E59,'Run 9'!E59,'Run 10'!E59,'Run 11'!E59)</f>
        <v>52.2</v>
      </c>
      <c r="G59" s="3" t="n">
        <f aca="false">MAX('Run 1'!E59,'Run 2'!E59,'Run 3'!E59,'Run 4'!E59,'Run 5'!E59,'Run 6'!E59,'Run 7'!E59,'Run 8'!E59,'Run 9'!E59,'Run 10'!E59,'Run 11'!E59)</f>
        <v>56.57</v>
      </c>
      <c r="H59" s="1" t="n">
        <f aca="false">COUNTIF('Run 1'!I59,"Yes")+COUNTIF('Run 2'!I59,"Yes")+COUNTIF('Run 3'!I59,"Yes")+COUNTIF('Run 4'!I59,"Yes")+COUNTIF('Run 5'!I59,"Yes")+COUNTIF('Run 6'!I59,"Yes")+COUNTIF('Run 7'!I59,"Yes")+COUNTIF('Run 8'!I59,"Yes")+COUNTIF('Run 9'!I59,"Yes")+COUNTIF('Run 10'!I59,"Yes")+COUNTIF('Run 11'!I59,"Yes")</f>
        <v>0</v>
      </c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f aca="false">MEDIAN('Run 1'!E60,'Run 2'!E60,'Run 3'!E60,'Run 4'!E60,'Run 5'!E60,'Run 6'!E60,'Run 7'!E60,'Run 8'!E60,'Run 9'!E60,'Run 10'!E60,'Run 11'!E60)</f>
        <v>23.91</v>
      </c>
      <c r="F60" s="3" t="n">
        <f aca="false">MIN('Run 1'!E60,'Run 2'!E60,'Run 3'!E60,'Run 4'!E60,'Run 5'!E60,'Run 6'!E60,'Run 7'!E60,'Run 8'!E60,'Run 9'!E60,'Run 10'!E60,'Run 11'!E60)</f>
        <v>20.78</v>
      </c>
      <c r="G60" s="3" t="n">
        <f aca="false">MAX('Run 1'!E60,'Run 2'!E60,'Run 3'!E60,'Run 4'!E60,'Run 5'!E60,'Run 6'!E60,'Run 7'!E60,'Run 8'!E60,'Run 9'!E60,'Run 10'!E60,'Run 11'!E60)</f>
        <v>25.33</v>
      </c>
      <c r="H60" s="1" t="n">
        <f aca="false">COUNTIF('Run 1'!I60,"Yes")+COUNTIF('Run 2'!I60,"Yes")+COUNTIF('Run 3'!I60,"Yes")+COUNTIF('Run 4'!I60,"Yes")+COUNTIF('Run 5'!I60,"Yes")+COUNTIF('Run 6'!I60,"Yes")+COUNTIF('Run 7'!I60,"Yes")+COUNTIF('Run 8'!I60,"Yes")+COUNTIF('Run 9'!I60,"Yes")+COUNTIF('Run 10'!I60,"Yes")+COUNTIF('Run 11'!I60,"Yes")</f>
        <v>1</v>
      </c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f aca="false">MEDIAN('Run 1'!E61,'Run 2'!E61,'Run 3'!E61,'Run 4'!E61,'Run 5'!E61,'Run 6'!E61,'Run 7'!E61,'Run 8'!E61,'Run 9'!E61,'Run 10'!E61,'Run 11'!E61)</f>
        <v>80.39</v>
      </c>
      <c r="F61" s="3" t="n">
        <f aca="false">MIN('Run 1'!E61,'Run 2'!E61,'Run 3'!E61,'Run 4'!E61,'Run 5'!E61,'Run 6'!E61,'Run 7'!E61,'Run 8'!E61,'Run 9'!E61,'Run 10'!E61,'Run 11'!E61)</f>
        <v>78.12</v>
      </c>
      <c r="G61" s="3" t="n">
        <f aca="false">MAX('Run 1'!E61,'Run 2'!E61,'Run 3'!E61,'Run 4'!E61,'Run 5'!E61,'Run 6'!E61,'Run 7'!E61,'Run 8'!E61,'Run 9'!E61,'Run 10'!E61,'Run 11'!E61)</f>
        <v>82.88</v>
      </c>
      <c r="H61" s="1" t="n">
        <f aca="false">COUNTIF('Run 1'!I61,"Yes")+COUNTIF('Run 2'!I61,"Yes")+COUNTIF('Run 3'!I61,"Yes")+COUNTIF('Run 4'!I61,"Yes")+COUNTIF('Run 5'!I61,"Yes")+COUNTIF('Run 6'!I61,"Yes")+COUNTIF('Run 7'!I61,"Yes")+COUNTIF('Run 8'!I61,"Yes")+COUNTIF('Run 9'!I61,"Yes")+COUNTIF('Run 10'!I61,"Yes")+COUNTIF('Run 11'!I61,"Yes")</f>
        <v>0</v>
      </c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f aca="false">MEDIAN('Run 1'!E62,'Run 2'!E62,'Run 3'!E62,'Run 4'!E62,'Run 5'!E62,'Run 6'!E62,'Run 7'!E62,'Run 8'!E62,'Run 9'!E62,'Run 10'!E62,'Run 11'!E62)</f>
        <v>19.69</v>
      </c>
      <c r="F62" s="3" t="n">
        <f aca="false">MIN('Run 1'!E62,'Run 2'!E62,'Run 3'!E62,'Run 4'!E62,'Run 5'!E62,'Run 6'!E62,'Run 7'!E62,'Run 8'!E62,'Run 9'!E62,'Run 10'!E62,'Run 11'!E62)</f>
        <v>18.59</v>
      </c>
      <c r="G62" s="3" t="n">
        <f aca="false">MAX('Run 1'!E62,'Run 2'!E62,'Run 3'!E62,'Run 4'!E62,'Run 5'!E62,'Run 6'!E62,'Run 7'!E62,'Run 8'!E62,'Run 9'!E62,'Run 10'!E62,'Run 11'!E62)</f>
        <v>21.19</v>
      </c>
      <c r="H62" s="1" t="n">
        <f aca="false">COUNTIF('Run 1'!I62,"Yes")+COUNTIF('Run 2'!I62,"Yes")+COUNTIF('Run 3'!I62,"Yes")+COUNTIF('Run 4'!I62,"Yes")+COUNTIF('Run 5'!I62,"Yes")+COUNTIF('Run 6'!I62,"Yes")+COUNTIF('Run 7'!I62,"Yes")+COUNTIF('Run 8'!I62,"Yes")+COUNTIF('Run 9'!I62,"Yes")+COUNTIF('Run 10'!I62,"Yes")+COUNTIF('Run 11'!I62,"Yes")</f>
        <v>0</v>
      </c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f aca="false">MEDIAN('Run 1'!E63,'Run 2'!E63,'Run 3'!E63,'Run 4'!E63,'Run 5'!E63,'Run 6'!E63,'Run 7'!E63,'Run 8'!E63,'Run 9'!E63,'Run 10'!E63,'Run 11'!E63)</f>
        <v>124.46</v>
      </c>
      <c r="F63" s="3" t="n">
        <f aca="false">MIN('Run 1'!E63,'Run 2'!E63,'Run 3'!E63,'Run 4'!E63,'Run 5'!E63,'Run 6'!E63,'Run 7'!E63,'Run 8'!E63,'Run 9'!E63,'Run 10'!E63,'Run 11'!E63)</f>
        <v>117.72</v>
      </c>
      <c r="G63" s="3" t="n">
        <f aca="false">MAX('Run 1'!E63,'Run 2'!E63,'Run 3'!E63,'Run 4'!E63,'Run 5'!E63,'Run 6'!E63,'Run 7'!E63,'Run 8'!E63,'Run 9'!E63,'Run 10'!E63,'Run 11'!E63)</f>
        <v>126.65</v>
      </c>
      <c r="H63" s="1" t="n">
        <f aca="false">COUNTIF('Run 1'!I63,"Yes")+COUNTIF('Run 2'!I63,"Yes")+COUNTIF('Run 3'!I63,"Yes")+COUNTIF('Run 4'!I63,"Yes")+COUNTIF('Run 5'!I63,"Yes")+COUNTIF('Run 6'!I63,"Yes")+COUNTIF('Run 7'!I63,"Yes")+COUNTIF('Run 8'!I63,"Yes")+COUNTIF('Run 9'!I63,"Yes")+COUNTIF('Run 10'!I63,"Yes")+COUNTIF('Run 11'!I63,"Yes")</f>
        <v>0</v>
      </c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f aca="false">MEDIAN('Run 1'!E64,'Run 2'!E64,'Run 3'!E64,'Run 4'!E64,'Run 5'!E64,'Run 6'!E64,'Run 7'!E64,'Run 8'!E64,'Run 9'!E64,'Run 10'!E64,'Run 11'!E64)</f>
        <v>32.3</v>
      </c>
      <c r="F64" s="3" t="n">
        <f aca="false">MIN('Run 1'!E64,'Run 2'!E64,'Run 3'!E64,'Run 4'!E64,'Run 5'!E64,'Run 6'!E64,'Run 7'!E64,'Run 8'!E64,'Run 9'!E64,'Run 10'!E64,'Run 11'!E64)</f>
        <v>29.45</v>
      </c>
      <c r="G64" s="3" t="n">
        <f aca="false">MAX('Run 1'!E64,'Run 2'!E64,'Run 3'!E64,'Run 4'!E64,'Run 5'!E64,'Run 6'!E64,'Run 7'!E64,'Run 8'!E64,'Run 9'!E64,'Run 10'!E64,'Run 11'!E64)</f>
        <v>36.95</v>
      </c>
      <c r="H64" s="1" t="n">
        <f aca="false">COUNTIF('Run 1'!I64,"Yes")+COUNTIF('Run 2'!I64,"Yes")+COUNTIF('Run 3'!I64,"Yes")+COUNTIF('Run 4'!I64,"Yes")+COUNTIF('Run 5'!I64,"Yes")+COUNTIF('Run 6'!I64,"Yes")+COUNTIF('Run 7'!I64,"Yes")+COUNTIF('Run 8'!I64,"Yes")+COUNTIF('Run 9'!I64,"Yes")+COUNTIF('Run 10'!I64,"Yes")+COUNTIF('Run 11'!I64,"Yes")</f>
        <v>8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f aca="false">MEDIAN('Run 1'!E65,'Run 2'!E65,'Run 3'!E65,'Run 4'!E65,'Run 5'!E65,'Run 6'!E65,'Run 7'!E65,'Run 8'!E65,'Run 9'!E65,'Run 10'!E65,'Run 11'!E65)</f>
        <v>94.86</v>
      </c>
      <c r="F65" s="3" t="n">
        <f aca="false">MIN('Run 1'!E65,'Run 2'!E65,'Run 3'!E65,'Run 4'!E65,'Run 5'!E65,'Run 6'!E65,'Run 7'!E65,'Run 8'!E65,'Run 9'!E65,'Run 10'!E65,'Run 11'!E65)</f>
        <v>92.69</v>
      </c>
      <c r="G65" s="3" t="n">
        <f aca="false">MAX('Run 1'!E65,'Run 2'!E65,'Run 3'!E65,'Run 4'!E65,'Run 5'!E65,'Run 6'!E65,'Run 7'!E65,'Run 8'!E65,'Run 9'!E65,'Run 10'!E65,'Run 11'!E65)</f>
        <v>103.01</v>
      </c>
      <c r="H65" s="1" t="n">
        <f aca="false">COUNTIF('Run 1'!I65,"Yes")+COUNTIF('Run 2'!I65,"Yes")+COUNTIF('Run 3'!I65,"Yes")+COUNTIF('Run 4'!I65,"Yes")+COUNTIF('Run 5'!I65,"Yes")+COUNTIF('Run 6'!I65,"Yes")+COUNTIF('Run 7'!I65,"Yes")+COUNTIF('Run 8'!I65,"Yes")+COUNTIF('Run 9'!I65,"Yes")+COUNTIF('Run 10'!I65,"Yes")+COUNTIF('Run 11'!I65,"Yes")</f>
        <v>0</v>
      </c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f aca="false">MEDIAN('Run 1'!E66,'Run 2'!E66,'Run 3'!E66,'Run 4'!E66,'Run 5'!E66,'Run 6'!E66,'Run 7'!E66,'Run 8'!E66,'Run 9'!E66,'Run 10'!E66,'Run 11'!E66)</f>
        <v>27.91</v>
      </c>
      <c r="F66" s="3" t="n">
        <f aca="false">MIN('Run 1'!E66,'Run 2'!E66,'Run 3'!E66,'Run 4'!E66,'Run 5'!E66,'Run 6'!E66,'Run 7'!E66,'Run 8'!E66,'Run 9'!E66,'Run 10'!E66,'Run 11'!E66)</f>
        <v>25.44</v>
      </c>
      <c r="G66" s="3" t="n">
        <f aca="false">MAX('Run 1'!E66,'Run 2'!E66,'Run 3'!E66,'Run 4'!E66,'Run 5'!E66,'Run 6'!E66,'Run 7'!E66,'Run 8'!E66,'Run 9'!E66,'Run 10'!E66,'Run 11'!E66)</f>
        <v>30.37</v>
      </c>
      <c r="H66" s="1" t="n">
        <f aca="false">COUNTIF('Run 1'!I66,"Yes")+COUNTIF('Run 2'!I66,"Yes")+COUNTIF('Run 3'!I66,"Yes")+COUNTIF('Run 4'!I66,"Yes")+COUNTIF('Run 5'!I66,"Yes")+COUNTIF('Run 6'!I66,"Yes")+COUNTIF('Run 7'!I66,"Yes")+COUNTIF('Run 8'!I66,"Yes")+COUNTIF('Run 9'!I66,"Yes")+COUNTIF('Run 10'!I66,"Yes")+COUNTIF('Run 11'!I66,"Yes")</f>
        <v>0</v>
      </c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f aca="false">MEDIAN('Run 1'!E67,'Run 2'!E67,'Run 3'!E67,'Run 4'!E67,'Run 5'!E67,'Run 6'!E67,'Run 7'!E67,'Run 8'!E67,'Run 9'!E67,'Run 10'!E67,'Run 11'!E67)</f>
        <v>122.65</v>
      </c>
      <c r="F67" s="3" t="n">
        <f aca="false">MIN('Run 1'!E67,'Run 2'!E67,'Run 3'!E67,'Run 4'!E67,'Run 5'!E67,'Run 6'!E67,'Run 7'!E67,'Run 8'!E67,'Run 9'!E67,'Run 10'!E67,'Run 11'!E67)</f>
        <v>114.28</v>
      </c>
      <c r="G67" s="3" t="n">
        <f aca="false">MAX('Run 1'!E67,'Run 2'!E67,'Run 3'!E67,'Run 4'!E67,'Run 5'!E67,'Run 6'!E67,'Run 7'!E67,'Run 8'!E67,'Run 9'!E67,'Run 10'!E67,'Run 11'!E67)</f>
        <v>315.75</v>
      </c>
      <c r="H67" s="1" t="n">
        <f aca="false">COUNTIF('Run 1'!I67,"Yes")+COUNTIF('Run 2'!I67,"Yes")+COUNTIF('Run 3'!I67,"Yes")+COUNTIF('Run 4'!I67,"Yes")+COUNTIF('Run 5'!I67,"Yes")+COUNTIF('Run 6'!I67,"Yes")+COUNTIF('Run 7'!I67,"Yes")+COUNTIF('Run 8'!I67,"Yes")+COUNTIF('Run 9'!I67,"Yes")+COUNTIF('Run 10'!I67,"Yes")+COUNTIF('Run 11'!I67,"Yes")</f>
        <v>1</v>
      </c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f aca="false">MEDIAN('Run 1'!E68,'Run 2'!E68,'Run 3'!E68,'Run 4'!E68,'Run 5'!E68,'Run 6'!E68,'Run 7'!E68,'Run 8'!E68,'Run 9'!E68,'Run 10'!E68,'Run 11'!E68)</f>
        <v>25.71</v>
      </c>
      <c r="F68" s="3" t="n">
        <f aca="false">MIN('Run 1'!E68,'Run 2'!E68,'Run 3'!E68,'Run 4'!E68,'Run 5'!E68,'Run 6'!E68,'Run 7'!E68,'Run 8'!E68,'Run 9'!E68,'Run 10'!E68,'Run 11'!E68)</f>
        <v>24.7</v>
      </c>
      <c r="G68" s="3" t="n">
        <f aca="false">MAX('Run 1'!E68,'Run 2'!E68,'Run 3'!E68,'Run 4'!E68,'Run 5'!E68,'Run 6'!E68,'Run 7'!E68,'Run 8'!E68,'Run 9'!E68,'Run 10'!E68,'Run 11'!E68)</f>
        <v>60.29</v>
      </c>
      <c r="H68" s="1" t="n">
        <f aca="false">COUNTIF('Run 1'!I68,"Yes")+COUNTIF('Run 2'!I68,"Yes")+COUNTIF('Run 3'!I68,"Yes")+COUNTIF('Run 4'!I68,"Yes")+COUNTIF('Run 5'!I68,"Yes")+COUNTIF('Run 6'!I68,"Yes")+COUNTIF('Run 7'!I68,"Yes")+COUNTIF('Run 8'!I68,"Yes")+COUNTIF('Run 9'!I68,"Yes")+COUNTIF('Run 10'!I68,"Yes")+COUNTIF('Run 11'!I68,"Yes")</f>
        <v>11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f aca="false">MEDIAN('Run 1'!E69,'Run 2'!E69,'Run 3'!E69,'Run 4'!E69,'Run 5'!E69,'Run 6'!E69,'Run 7'!E69,'Run 8'!E69,'Run 9'!E69,'Run 10'!E69,'Run 11'!E69)</f>
        <v>206.73</v>
      </c>
      <c r="F69" s="3" t="n">
        <f aca="false">MIN('Run 1'!E69,'Run 2'!E69,'Run 3'!E69,'Run 4'!E69,'Run 5'!E69,'Run 6'!E69,'Run 7'!E69,'Run 8'!E69,'Run 9'!E69,'Run 10'!E69,'Run 11'!E69)</f>
        <v>197.41</v>
      </c>
      <c r="G69" s="3" t="n">
        <f aca="false">MAX('Run 1'!E69,'Run 2'!E69,'Run 3'!E69,'Run 4'!E69,'Run 5'!E69,'Run 6'!E69,'Run 7'!E69,'Run 8'!E69,'Run 9'!E69,'Run 10'!E69,'Run 11'!E69)</f>
        <v>370.54</v>
      </c>
      <c r="H69" s="1" t="n">
        <f aca="false">COUNTIF('Run 1'!I69,"Yes")+COUNTIF('Run 2'!I69,"Yes")+COUNTIF('Run 3'!I69,"Yes")+COUNTIF('Run 4'!I69,"Yes")+COUNTIF('Run 5'!I69,"Yes")+COUNTIF('Run 6'!I69,"Yes")+COUNTIF('Run 7'!I69,"Yes")+COUNTIF('Run 8'!I69,"Yes")+COUNTIF('Run 9'!I69,"Yes")+COUNTIF('Run 10'!I69,"Yes")+COUNTIF('Run 11'!I69,"Yes")</f>
        <v>1</v>
      </c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f aca="false">MEDIAN('Run 1'!E70,'Run 2'!E70,'Run 3'!E70,'Run 4'!E70,'Run 5'!E70,'Run 6'!E70,'Run 7'!E70,'Run 8'!E70,'Run 9'!E70,'Run 10'!E70,'Run 11'!E70)</f>
        <v>39.25</v>
      </c>
      <c r="F70" s="3" t="n">
        <f aca="false">MIN('Run 1'!E70,'Run 2'!E70,'Run 3'!E70,'Run 4'!E70,'Run 5'!E70,'Run 6'!E70,'Run 7'!E70,'Run 8'!E70,'Run 9'!E70,'Run 10'!E70,'Run 11'!E70)</f>
        <v>35.42</v>
      </c>
      <c r="G70" s="3" t="n">
        <f aca="false">MAX('Run 1'!E70,'Run 2'!E70,'Run 3'!E70,'Run 4'!E70,'Run 5'!E70,'Run 6'!E70,'Run 7'!E70,'Run 8'!E70,'Run 9'!E70,'Run 10'!E70,'Run 11'!E70)</f>
        <v>95.5</v>
      </c>
      <c r="H70" s="1" t="n">
        <f aca="false">COUNTIF('Run 1'!I70,"Yes")+COUNTIF('Run 2'!I70,"Yes")+COUNTIF('Run 3'!I70,"Yes")+COUNTIF('Run 4'!I70,"Yes")+COUNTIF('Run 5'!I70,"Yes")+COUNTIF('Run 6'!I70,"Yes")+COUNTIF('Run 7'!I70,"Yes")+COUNTIF('Run 8'!I70,"Yes")+COUNTIF('Run 9'!I70,"Yes")+COUNTIF('Run 10'!I70,"Yes")+COUNTIF('Run 11'!I70,"Yes")</f>
        <v>5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f aca="false">MEDIAN('Run 1'!E71,'Run 2'!E71,'Run 3'!E71,'Run 4'!E71,'Run 5'!E71,'Run 6'!E71,'Run 7'!E71,'Run 8'!E71,'Run 9'!E71,'Run 10'!E71,'Run 11'!E71)</f>
        <v>178.05</v>
      </c>
      <c r="F71" s="3" t="n">
        <f aca="false">MIN('Run 1'!E71,'Run 2'!E71,'Run 3'!E71,'Run 4'!E71,'Run 5'!E71,'Run 6'!E71,'Run 7'!E71,'Run 8'!E71,'Run 9'!E71,'Run 10'!E71,'Run 11'!E71)</f>
        <v>169.12</v>
      </c>
      <c r="G71" s="3" t="n">
        <f aca="false">MAX('Run 1'!E71,'Run 2'!E71,'Run 3'!E71,'Run 4'!E71,'Run 5'!E71,'Run 6'!E71,'Run 7'!E71,'Run 8'!E71,'Run 9'!E71,'Run 10'!E71,'Run 11'!E71)</f>
        <v>202.38</v>
      </c>
      <c r="H71" s="1" t="n">
        <f aca="false">COUNTIF('Run 1'!I71,"Yes")+COUNTIF('Run 2'!I71,"Yes")+COUNTIF('Run 3'!I71,"Yes")+COUNTIF('Run 4'!I71,"Yes")+COUNTIF('Run 5'!I71,"Yes")+COUNTIF('Run 6'!I71,"Yes")+COUNTIF('Run 7'!I71,"Yes")+COUNTIF('Run 8'!I71,"Yes")+COUNTIF('Run 9'!I71,"Yes")+COUNTIF('Run 10'!I71,"Yes")+COUNTIF('Run 11'!I71,"Yes")</f>
        <v>2</v>
      </c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f aca="false">MEDIAN('Run 1'!E72,'Run 2'!E72,'Run 3'!E72,'Run 4'!E72,'Run 5'!E72,'Run 6'!E72,'Run 7'!E72,'Run 8'!E72,'Run 9'!E72,'Run 10'!E72,'Run 11'!E72)</f>
        <v>32.8</v>
      </c>
      <c r="F72" s="3" t="n">
        <f aca="false">MIN('Run 1'!E72,'Run 2'!E72,'Run 3'!E72,'Run 4'!E72,'Run 5'!E72,'Run 6'!E72,'Run 7'!E72,'Run 8'!E72,'Run 9'!E72,'Run 10'!E72,'Run 11'!E72)</f>
        <v>30.09</v>
      </c>
      <c r="G72" s="3" t="n">
        <f aca="false">MAX('Run 1'!E72,'Run 2'!E72,'Run 3'!E72,'Run 4'!E72,'Run 5'!E72,'Run 6'!E72,'Run 7'!E72,'Run 8'!E72,'Run 9'!E72,'Run 10'!E72,'Run 11'!E72)</f>
        <v>37.76</v>
      </c>
      <c r="H72" s="1" t="n">
        <f aca="false">COUNTIF('Run 1'!I72,"Yes")+COUNTIF('Run 2'!I72,"Yes")+COUNTIF('Run 3'!I72,"Yes")+COUNTIF('Run 4'!I72,"Yes")+COUNTIF('Run 5'!I72,"Yes")+COUNTIF('Run 6'!I72,"Yes")+COUNTIF('Run 7'!I72,"Yes")+COUNTIF('Run 8'!I72,"Yes")+COUNTIF('Run 9'!I72,"Yes")+COUNTIF('Run 10'!I72,"Yes")+COUNTIF('Run 11'!I72,"Yes")</f>
        <v>2</v>
      </c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f aca="false">MEDIAN('Run 1'!E73,'Run 2'!E73,'Run 3'!E73,'Run 4'!E73,'Run 5'!E73,'Run 6'!E73,'Run 7'!E73,'Run 8'!E73,'Run 9'!E73,'Run 10'!E73,'Run 11'!E73)</f>
        <v>207.9</v>
      </c>
      <c r="F73" s="3" t="n">
        <f aca="false">MIN('Run 1'!E73,'Run 2'!E73,'Run 3'!E73,'Run 4'!E73,'Run 5'!E73,'Run 6'!E73,'Run 7'!E73,'Run 8'!E73,'Run 9'!E73,'Run 10'!E73,'Run 11'!E73)</f>
        <v>202.56</v>
      </c>
      <c r="G73" s="3" t="n">
        <f aca="false">MAX('Run 1'!E73,'Run 2'!E73,'Run 3'!E73,'Run 4'!E73,'Run 5'!E73,'Run 6'!E73,'Run 7'!E73,'Run 8'!E73,'Run 9'!E73,'Run 10'!E73,'Run 11'!E73)</f>
        <v>217.68</v>
      </c>
      <c r="H73" s="1" t="n">
        <f aca="false">COUNTIF('Run 1'!I73,"Yes")+COUNTIF('Run 2'!I73,"Yes")+COUNTIF('Run 3'!I73,"Yes")+COUNTIF('Run 4'!I73,"Yes")+COUNTIF('Run 5'!I73,"Yes")+COUNTIF('Run 6'!I73,"Yes")+COUNTIF('Run 7'!I73,"Yes")+COUNTIF('Run 8'!I73,"Yes")+COUNTIF('Run 9'!I73,"Yes")+COUNTIF('Run 10'!I73,"Yes")+COUNTIF('Run 11'!I73,"Yes")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22</v>
      </c>
    </row>
    <row r="2" customFormat="false" ht="15" hidden="false" customHeight="false" outlineLevel="0" collapsed="false">
      <c r="A2" s="1" t="s">
        <v>23</v>
      </c>
      <c r="B2" s="3" t="n">
        <f aca="false">Median!E49/Median!E47</f>
        <v>0.936388758537984</v>
      </c>
    </row>
    <row r="3" customFormat="false" ht="15" hidden="false" customHeight="false" outlineLevel="0" collapsed="false">
      <c r="A3" s="1" t="s">
        <v>24</v>
      </c>
      <c r="B3" s="3" t="n">
        <f aca="false">Median!E73/Median!E71</f>
        <v>1.16764953664701</v>
      </c>
    </row>
    <row r="4" customFormat="false" ht="15" hidden="false" customHeight="false" outlineLevel="0" collapsed="false">
      <c r="A4" s="1" t="s">
        <v>25</v>
      </c>
      <c r="B4" s="3" t="n">
        <f aca="false">Median!E48/Median!E46</f>
        <v>0.533208955223881</v>
      </c>
    </row>
    <row r="5" customFormat="false" ht="15" hidden="false" customHeight="false" outlineLevel="0" collapsed="false">
      <c r="A5" s="1" t="s">
        <v>26</v>
      </c>
      <c r="B5" s="3" t="n">
        <f aca="false">Median!E72/Median!E70</f>
        <v>0.835668789808917</v>
      </c>
    </row>
    <row r="6" customFormat="false" ht="15" hidden="false" customHeight="false" outlineLevel="0" collapsed="false">
      <c r="A6" s="1" t="s">
        <v>27</v>
      </c>
      <c r="B6" s="3" t="n">
        <f aca="false">Median!E25/Median!E23</f>
        <v>0.727082461280871</v>
      </c>
    </row>
    <row r="7" customFormat="false" ht="15" hidden="false" customHeight="false" outlineLevel="0" collapsed="false">
      <c r="A7" s="1" t="s">
        <v>28</v>
      </c>
      <c r="B7" s="3" t="n">
        <f aca="false">Median!E24/Median!E22</f>
        <v>0.608065925833437</v>
      </c>
    </row>
    <row r="9" customFormat="false" ht="15" hidden="false" customHeight="false" outlineLevel="0" collapsed="false">
      <c r="A9" s="4" t="s">
        <v>29</v>
      </c>
    </row>
    <row r="10" customFormat="false" ht="15" hidden="false" customHeight="false" outlineLevel="0" collapsed="false">
      <c r="A10" s="1" t="s">
        <v>30</v>
      </c>
      <c r="B10" s="3" t="n">
        <f aca="false">Median!E49/Median!E48</f>
        <v>4.18917658035923</v>
      </c>
    </row>
    <row r="11" customFormat="false" ht="15" hidden="false" customHeight="false" outlineLevel="0" collapsed="false">
      <c r="A11" s="1" t="s">
        <v>31</v>
      </c>
      <c r="B11" s="3" t="n">
        <f aca="false">Median!E73/Median!E72</f>
        <v>6.33841463414634</v>
      </c>
    </row>
    <row r="12" customFormat="false" ht="15" hidden="false" customHeight="false" outlineLevel="0" collapsed="false">
      <c r="A12" s="1" t="s">
        <v>32</v>
      </c>
      <c r="B12" s="3" t="n">
        <f aca="false">Median!E47/Median!E46</f>
        <v>2.38544776119403</v>
      </c>
    </row>
    <row r="13" customFormat="false" ht="15" hidden="false" customHeight="false" outlineLevel="0" collapsed="false">
      <c r="A13" s="1" t="s">
        <v>33</v>
      </c>
      <c r="B13" s="3" t="n">
        <f aca="false">Median!E71/Median!E70</f>
        <v>4.53630573248408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46.68</v>
      </c>
      <c r="F2" s="5" t="n">
        <v>21422959.79</v>
      </c>
      <c r="G2" s="6" t="n">
        <v>0.008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42.07</v>
      </c>
      <c r="F3" s="5" t="n">
        <v>23768060.89</v>
      </c>
      <c r="G3" s="6" t="n">
        <v>0.004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14.69</v>
      </c>
      <c r="F4" s="5" t="n">
        <v>68089326.41</v>
      </c>
      <c r="G4" s="6" t="n">
        <v>0.013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12.73</v>
      </c>
      <c r="F5" s="5" t="n">
        <v>78545771.38</v>
      </c>
      <c r="G5" s="6" t="n">
        <v>0.007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9.68</v>
      </c>
      <c r="F6" s="5" t="n">
        <v>103290492.41</v>
      </c>
      <c r="G6" s="6" t="n">
        <v>0.003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11.19</v>
      </c>
      <c r="F7" s="5" t="n">
        <v>89352793.78</v>
      </c>
      <c r="G7" s="6" t="n">
        <v>0.006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68.75</v>
      </c>
      <c r="F8" s="5" t="n">
        <v>14545913.69</v>
      </c>
      <c r="G8" s="6" t="n">
        <v>0.003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61.97</v>
      </c>
      <c r="F9" s="5" t="n">
        <v>16138134.07</v>
      </c>
      <c r="G9" s="6" t="n">
        <v>0.009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26.4</v>
      </c>
      <c r="F10" s="5" t="n">
        <v>37885234.99</v>
      </c>
      <c r="G10" s="6" t="n">
        <v>0.003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24.25</v>
      </c>
      <c r="F11" s="5" t="n">
        <v>41238873.96</v>
      </c>
      <c r="G11" s="6" t="n">
        <v>0.008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18.07</v>
      </c>
      <c r="F12" s="5" t="n">
        <v>55352421.28</v>
      </c>
      <c r="G12" s="6" t="n">
        <v>0.005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21.52</v>
      </c>
      <c r="F13" s="5" t="n">
        <v>46472023.74</v>
      </c>
      <c r="G13" s="6" t="n">
        <v>0.008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105.22</v>
      </c>
      <c r="F14" s="5" t="n">
        <v>9503944.73</v>
      </c>
      <c r="G14" s="6" t="n">
        <v>0.005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96.07</v>
      </c>
      <c r="F15" s="5" t="n">
        <v>10408834.7</v>
      </c>
      <c r="G15" s="6" t="n">
        <v>0.003</v>
      </c>
      <c r="H15" s="1" t="n">
        <v>0.23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41.37</v>
      </c>
      <c r="F16" s="5" t="n">
        <v>24171915.4</v>
      </c>
      <c r="G16" s="6" t="n">
        <v>0.004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36.67</v>
      </c>
      <c r="F17" s="5" t="n">
        <v>27267912.93</v>
      </c>
      <c r="G17" s="6" t="n">
        <v>0.006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27.14</v>
      </c>
      <c r="F18" s="5" t="n">
        <v>36848715.25</v>
      </c>
      <c r="G18" s="6" t="n">
        <v>0.008</v>
      </c>
      <c r="H18" s="1" t="n">
        <v>0.07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30.06</v>
      </c>
      <c r="F19" s="5" t="n">
        <v>33270437.55</v>
      </c>
      <c r="G19" s="6" t="n">
        <v>0.007</v>
      </c>
      <c r="H19" s="1" t="n">
        <v>0.08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191.97</v>
      </c>
      <c r="F20" s="5" t="n">
        <v>5209230.22</v>
      </c>
      <c r="G20" s="6" t="n">
        <v>0.022</v>
      </c>
      <c r="H20" s="1" t="n">
        <v>0.46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211.06</v>
      </c>
      <c r="F21" s="5" t="n">
        <v>4738081.03</v>
      </c>
      <c r="G21" s="6" t="n">
        <v>0.078</v>
      </c>
      <c r="H21" s="1" t="n">
        <v>0.51</v>
      </c>
      <c r="I21" s="1" t="s">
        <v>39</v>
      </c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80.48</v>
      </c>
      <c r="F22" s="5" t="n">
        <v>12424755.63</v>
      </c>
      <c r="G22" s="6" t="n">
        <v>0.018</v>
      </c>
      <c r="H22" s="1" t="n">
        <v>0.2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73.57</v>
      </c>
      <c r="F23" s="5" t="n">
        <v>13592883.65</v>
      </c>
      <c r="G23" s="6" t="n">
        <v>0.033</v>
      </c>
      <c r="H23" s="1" t="n">
        <v>0.18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47.58</v>
      </c>
      <c r="F24" s="5" t="n">
        <v>21018184.1</v>
      </c>
      <c r="G24" s="6" t="n">
        <v>0.016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52.11</v>
      </c>
      <c r="F25" s="5" t="n">
        <v>19190578.04</v>
      </c>
      <c r="G25" s="6" t="n">
        <v>0.007</v>
      </c>
      <c r="H25" s="1" t="n">
        <v>0.13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</v>
      </c>
      <c r="F26" s="5" t="n">
        <v>50007935.83</v>
      </c>
      <c r="G26" s="6" t="n">
        <v>0.022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58.09</v>
      </c>
      <c r="F27" s="5" t="n">
        <v>17214279.11</v>
      </c>
      <c r="G27" s="6" t="n">
        <v>0.023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23.02</v>
      </c>
      <c r="F28" s="5" t="n">
        <v>43443214.12</v>
      </c>
      <c r="G28" s="6" t="n">
        <v>0.036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38.64</v>
      </c>
      <c r="F29" s="5" t="n">
        <v>25881133.82</v>
      </c>
      <c r="G29" s="6" t="n">
        <v>0.038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23.23</v>
      </c>
      <c r="F30" s="5" t="n">
        <v>43042390.87</v>
      </c>
      <c r="G30" s="6" t="n">
        <v>0.036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59.75</v>
      </c>
      <c r="F31" s="5" t="n">
        <v>16735170.82</v>
      </c>
      <c r="G31" s="6" t="n">
        <v>0.02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24.38</v>
      </c>
      <c r="F32" s="5" t="n">
        <v>41009313.7</v>
      </c>
      <c r="G32" s="6" t="n">
        <v>0.072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75.07</v>
      </c>
      <c r="F33" s="5" t="n">
        <v>13320065.3</v>
      </c>
      <c r="G33" s="6" t="n">
        <v>0.031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33.07</v>
      </c>
      <c r="F34" s="5" t="n">
        <v>30238601.46</v>
      </c>
      <c r="G34" s="6" t="n">
        <v>0.139</v>
      </c>
      <c r="H34" s="1" t="n">
        <v>0.01</v>
      </c>
      <c r="I34" s="1" t="s">
        <v>39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58.87</v>
      </c>
      <c r="F35" s="5" t="n">
        <v>16987762.05</v>
      </c>
      <c r="G35" s="6" t="n">
        <v>0.009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25.82</v>
      </c>
      <c r="F36" s="5" t="n">
        <v>38722882.28</v>
      </c>
      <c r="G36" s="6" t="n">
        <v>0.022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81.8</v>
      </c>
      <c r="F37" s="5" t="n">
        <v>12224566.72</v>
      </c>
      <c r="G37" s="6" t="n">
        <v>0.019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58.76</v>
      </c>
      <c r="F38" s="5" t="n">
        <v>17017281.1</v>
      </c>
      <c r="G38" s="6" t="n">
        <v>0.027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97.22</v>
      </c>
      <c r="F39" s="5" t="n">
        <v>10286310.9</v>
      </c>
      <c r="G39" s="6" t="n">
        <v>0.009</v>
      </c>
      <c r="H39" s="1" t="n">
        <v>0.08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81.92</v>
      </c>
      <c r="F40" s="5" t="n">
        <v>12206967.86</v>
      </c>
      <c r="G40" s="6" t="n">
        <v>0.137</v>
      </c>
      <c r="H40" s="1" t="n">
        <v>0.05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113.92</v>
      </c>
      <c r="F41" s="5" t="n">
        <v>8778027.71</v>
      </c>
      <c r="G41" s="6" t="n">
        <v>0.073</v>
      </c>
      <c r="H41" s="1" t="n">
        <v>0.09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31.48</v>
      </c>
      <c r="F42" s="5" t="n">
        <v>31770316.74</v>
      </c>
      <c r="G42" s="6" t="n">
        <v>0.045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133.82</v>
      </c>
      <c r="F43" s="5" t="n">
        <v>7472457.46</v>
      </c>
      <c r="G43" s="6" t="n">
        <v>0.115</v>
      </c>
      <c r="H43" s="1" t="n">
        <v>0.1</v>
      </c>
      <c r="I43" s="1" t="s">
        <v>39</v>
      </c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79.88</v>
      </c>
      <c r="F44" s="5" t="n">
        <v>12519353.15</v>
      </c>
      <c r="G44" s="6" t="n">
        <v>0.118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150.37</v>
      </c>
      <c r="F45" s="5" t="n">
        <v>6650188.33</v>
      </c>
      <c r="G45" s="6" t="n">
        <v>0.026</v>
      </c>
      <c r="H45" s="1" t="n">
        <v>0.44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100.62</v>
      </c>
      <c r="F46" s="5" t="n">
        <v>9938333.91</v>
      </c>
      <c r="G46" s="6" t="n">
        <v>0.038</v>
      </c>
      <c r="H46" s="1" t="n">
        <v>0.28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182.16</v>
      </c>
      <c r="F47" s="5" t="n">
        <v>5489631.01</v>
      </c>
      <c r="G47" s="6" t="n">
        <v>0.03</v>
      </c>
      <c r="H47" s="1" t="n">
        <v>0.52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45.12</v>
      </c>
      <c r="F48" s="5" t="n">
        <v>22162858.76</v>
      </c>
      <c r="G48" s="6" t="n">
        <v>0.027</v>
      </c>
      <c r="H48" s="1" t="n">
        <v>0.23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186</v>
      </c>
      <c r="F49" s="5" t="n">
        <v>5376255.99</v>
      </c>
      <c r="G49" s="6" t="n">
        <v>0.008</v>
      </c>
      <c r="H49" s="1" t="n">
        <v>0.54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17.16</v>
      </c>
      <c r="F50" s="5" t="n">
        <v>58265409.18</v>
      </c>
      <c r="G50" s="6" t="n">
        <v>0.018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59.05</v>
      </c>
      <c r="F51" s="5" t="n">
        <v>16933596.82</v>
      </c>
      <c r="G51" s="6" t="n">
        <v>0.018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15.1</v>
      </c>
      <c r="F52" s="5" t="n">
        <v>66223666.55</v>
      </c>
      <c r="G52" s="6" t="n">
        <v>0.078</v>
      </c>
      <c r="H52" s="1" t="n">
        <v>0</v>
      </c>
      <c r="I52" s="1" t="s">
        <v>39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39.38</v>
      </c>
      <c r="F53" s="5" t="n">
        <v>25395093.34</v>
      </c>
      <c r="G53" s="6" t="n">
        <v>0.025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19.45</v>
      </c>
      <c r="F54" s="5" t="n">
        <v>51410784.22</v>
      </c>
      <c r="G54" s="6" t="n">
        <v>0.026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64.55</v>
      </c>
      <c r="F55" s="5" t="n">
        <v>15490800.45</v>
      </c>
      <c r="G55" s="6" t="n">
        <v>0.015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18.63</v>
      </c>
      <c r="F56" s="5" t="n">
        <v>53687580.49</v>
      </c>
      <c r="G56" s="6" t="n">
        <v>0.05</v>
      </c>
      <c r="H56" s="1" t="n">
        <v>0</v>
      </c>
      <c r="I56" s="1"/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82.14</v>
      </c>
      <c r="F57" s="5" t="n">
        <v>12174207.68</v>
      </c>
      <c r="G57" s="6" t="n">
        <v>0.007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17.28</v>
      </c>
      <c r="F58" s="5" t="n">
        <v>57871498.71</v>
      </c>
      <c r="G58" s="6" t="n">
        <v>0.083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54.86</v>
      </c>
      <c r="F59" s="5" t="n">
        <v>18228587.2</v>
      </c>
      <c r="G59" s="6" t="n">
        <v>0.016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24.31</v>
      </c>
      <c r="F60" s="5" t="n">
        <v>41131724.95</v>
      </c>
      <c r="G60" s="6" t="n">
        <v>0.023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81.6</v>
      </c>
      <c r="F61" s="5" t="n">
        <v>12255281.46</v>
      </c>
      <c r="G61" s="6" t="n">
        <v>0.009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21.19</v>
      </c>
      <c r="F62" s="5" t="n">
        <v>47202875.27</v>
      </c>
      <c r="G62" s="6" t="n">
        <v>0.024</v>
      </c>
      <c r="H62" s="1" t="n">
        <v>0.02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126.65</v>
      </c>
      <c r="F63" s="5" t="n">
        <v>7895743.8</v>
      </c>
      <c r="G63" s="6" t="n">
        <v>0.03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36.48</v>
      </c>
      <c r="F64" s="5" t="n">
        <v>27411962.87</v>
      </c>
      <c r="G64" s="6" t="n">
        <v>0.069</v>
      </c>
      <c r="H64" s="1" t="n">
        <v>0.03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99.55</v>
      </c>
      <c r="F65" s="5" t="n">
        <v>10044916.73</v>
      </c>
      <c r="G65" s="6" t="n">
        <v>0.047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28.56</v>
      </c>
      <c r="F66" s="5" t="n">
        <v>35018685.97</v>
      </c>
      <c r="G66" s="6" t="n">
        <v>0.007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127.2</v>
      </c>
      <c r="F67" s="5" t="n">
        <v>7861510.92</v>
      </c>
      <c r="G67" s="6" t="n">
        <v>0.015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27.74</v>
      </c>
      <c r="F68" s="5" t="n">
        <v>36044082.72</v>
      </c>
      <c r="G68" s="6" t="n">
        <v>0.14</v>
      </c>
      <c r="H68" s="1" t="n">
        <v>0.08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217.94</v>
      </c>
      <c r="F69" s="5" t="n">
        <v>4588367.94</v>
      </c>
      <c r="G69" s="6" t="n">
        <v>0.014</v>
      </c>
      <c r="H69" s="1" t="n">
        <v>0.65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39.25</v>
      </c>
      <c r="F70" s="5" t="n">
        <v>25478994.68</v>
      </c>
      <c r="G70" s="6" t="n">
        <v>0.045</v>
      </c>
      <c r="H70" s="1" t="n">
        <v>0.11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200.22</v>
      </c>
      <c r="F71" s="5" t="n">
        <v>4994587.75</v>
      </c>
      <c r="G71" s="6" t="n">
        <v>0.038</v>
      </c>
      <c r="H71" s="1" t="n">
        <v>0.58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33.17</v>
      </c>
      <c r="F72" s="5" t="n">
        <v>30149531.99</v>
      </c>
      <c r="G72" s="6" t="n">
        <v>0.031</v>
      </c>
      <c r="H72" s="1" t="n">
        <v>0.1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213.97</v>
      </c>
      <c r="F73" s="5" t="n">
        <v>4673522.93</v>
      </c>
      <c r="G73" s="6" t="n">
        <v>0.041</v>
      </c>
      <c r="H73" s="1" t="n">
        <v>0.66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53.86</v>
      </c>
      <c r="F2" s="5" t="n">
        <v>18565478.04</v>
      </c>
      <c r="G2" s="6" t="n">
        <v>0.015</v>
      </c>
      <c r="H2" s="1" t="n">
        <v>0.13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40.67</v>
      </c>
      <c r="F3" s="5" t="n">
        <v>24587896.49</v>
      </c>
      <c r="G3" s="6" t="n">
        <v>0.04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14.57</v>
      </c>
      <c r="F4" s="5" t="n">
        <v>68656796.49</v>
      </c>
      <c r="G4" s="6" t="n">
        <v>0.015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11.19</v>
      </c>
      <c r="F5" s="5" t="n">
        <v>89389699.32</v>
      </c>
      <c r="G5" s="6" t="n">
        <v>0.005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8.93</v>
      </c>
      <c r="F6" s="5" t="n">
        <v>111963470.32</v>
      </c>
      <c r="G6" s="6" t="n">
        <v>0.008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11.44</v>
      </c>
      <c r="F7" s="5" t="n">
        <v>87389638.27</v>
      </c>
      <c r="G7" s="6" t="n">
        <v>0.019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70.08</v>
      </c>
      <c r="F8" s="5" t="n">
        <v>14268997.14</v>
      </c>
      <c r="G8" s="6" t="n">
        <v>0.006</v>
      </c>
      <c r="H8" s="1" t="n">
        <v>0.16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65.58</v>
      </c>
      <c r="F9" s="5" t="n">
        <v>15248245.56</v>
      </c>
      <c r="G9" s="6" t="n">
        <v>0.049</v>
      </c>
      <c r="H9" s="1" t="n">
        <v>0.16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31.15</v>
      </c>
      <c r="F10" s="5" t="n">
        <v>32097821.16</v>
      </c>
      <c r="G10" s="6" t="n">
        <v>0.007</v>
      </c>
      <c r="H10" s="1" t="n">
        <v>0.08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24.68</v>
      </c>
      <c r="F11" s="5" t="n">
        <v>40514026.71</v>
      </c>
      <c r="G11" s="6" t="n">
        <v>0.016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22.37</v>
      </c>
      <c r="F12" s="5" t="n">
        <v>44694492.82</v>
      </c>
      <c r="G12" s="6" t="n">
        <v>0.023</v>
      </c>
      <c r="H12" s="1" t="n">
        <v>0.05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21.83</v>
      </c>
      <c r="F13" s="5" t="n">
        <v>45800902.77</v>
      </c>
      <c r="G13" s="6" t="n">
        <v>0.022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103.56</v>
      </c>
      <c r="F14" s="5" t="n">
        <v>9655784.53</v>
      </c>
      <c r="G14" s="6" t="n">
        <v>0.014</v>
      </c>
      <c r="H14" s="1" t="n">
        <v>0.26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99.63</v>
      </c>
      <c r="F15" s="5" t="n">
        <v>10037433.3</v>
      </c>
      <c r="G15" s="6" t="n">
        <v>0.036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41.08</v>
      </c>
      <c r="F16" s="5" t="n">
        <v>24343262.24</v>
      </c>
      <c r="G16" s="6" t="n">
        <v>0.012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36.83</v>
      </c>
      <c r="F17" s="5" t="n">
        <v>27155139.8</v>
      </c>
      <c r="G17" s="6" t="n">
        <v>0.01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26.68</v>
      </c>
      <c r="F18" s="5" t="n">
        <v>37486512.08</v>
      </c>
      <c r="G18" s="6" t="n">
        <v>0.003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30.32</v>
      </c>
      <c r="F19" s="5" t="n">
        <v>32978635.47</v>
      </c>
      <c r="G19" s="6" t="n">
        <v>0.009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222.35</v>
      </c>
      <c r="F20" s="5" t="n">
        <v>4497474.01</v>
      </c>
      <c r="G20" s="6" t="n">
        <v>0.063</v>
      </c>
      <c r="H20" s="1" t="n">
        <v>0.57</v>
      </c>
      <c r="I20" s="1" t="s">
        <v>39</v>
      </c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212.4</v>
      </c>
      <c r="F21" s="5" t="n">
        <v>4708103.41</v>
      </c>
      <c r="G21" s="6" t="n">
        <v>0.043</v>
      </c>
      <c r="H21" s="1" t="n">
        <v>0.53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81.46</v>
      </c>
      <c r="F22" s="5" t="n">
        <v>12275318.92</v>
      </c>
      <c r="G22" s="6" t="n">
        <v>0.035</v>
      </c>
      <c r="H22" s="1" t="n">
        <v>0.2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77.86</v>
      </c>
      <c r="F23" s="5" t="n">
        <v>12844206.17</v>
      </c>
      <c r="G23" s="6" t="n">
        <v>0.04</v>
      </c>
      <c r="H23" s="1" t="n">
        <v>0.19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53.08</v>
      </c>
      <c r="F24" s="5" t="n">
        <v>18838171.44</v>
      </c>
      <c r="G24" s="6" t="n">
        <v>0.021</v>
      </c>
      <c r="H24" s="1" t="n">
        <v>0.13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59.01</v>
      </c>
      <c r="F25" s="5" t="n">
        <v>16945927.25</v>
      </c>
      <c r="G25" s="6" t="n">
        <v>0.101</v>
      </c>
      <c r="H25" s="1" t="n">
        <v>0.15</v>
      </c>
      <c r="I25" s="1" t="s">
        <v>39</v>
      </c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19.78</v>
      </c>
      <c r="F26" s="5" t="n">
        <v>50554794.44</v>
      </c>
      <c r="G26" s="6" t="n">
        <v>0.042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54.67</v>
      </c>
      <c r="F27" s="5" t="n">
        <v>18290450.21</v>
      </c>
      <c r="G27" s="6" t="n">
        <v>0.014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21.24</v>
      </c>
      <c r="F28" s="5" t="n">
        <v>47086954.52</v>
      </c>
      <c r="G28" s="6" t="n">
        <v>0.026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35.56</v>
      </c>
      <c r="F29" s="5" t="n">
        <v>28122983.12</v>
      </c>
      <c r="G29" s="6" t="n">
        <v>0.02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23.42</v>
      </c>
      <c r="F30" s="5" t="n">
        <v>42703142.27</v>
      </c>
      <c r="G30" s="6" t="n">
        <v>0.011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59.38</v>
      </c>
      <c r="F31" s="5" t="n">
        <v>16840928.06</v>
      </c>
      <c r="G31" s="6" t="n">
        <v>0.012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24.42</v>
      </c>
      <c r="F32" s="5" t="n">
        <v>40949250.82</v>
      </c>
      <c r="G32" s="6" t="n">
        <v>0.073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71.66</v>
      </c>
      <c r="F33" s="5" t="n">
        <v>13955600</v>
      </c>
      <c r="G33" s="6" t="n">
        <v>0.02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30.94</v>
      </c>
      <c r="F34" s="5" t="n">
        <v>32317430.39</v>
      </c>
      <c r="G34" s="6" t="n">
        <v>0.095</v>
      </c>
      <c r="H34" s="1" t="n">
        <v>0.01</v>
      </c>
      <c r="I34" s="1" t="s">
        <v>39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59.85</v>
      </c>
      <c r="F35" s="5" t="n">
        <v>16709398.83</v>
      </c>
      <c r="G35" s="6" t="n">
        <v>0.068</v>
      </c>
      <c r="H35" s="1" t="n">
        <v>0.01</v>
      </c>
      <c r="I35" s="1" t="s">
        <v>39</v>
      </c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25.72</v>
      </c>
      <c r="F36" s="5" t="n">
        <v>38877617.61</v>
      </c>
      <c r="G36" s="6" t="n">
        <v>0.056</v>
      </c>
      <c r="H36" s="1" t="n">
        <v>0</v>
      </c>
      <c r="I36" s="1" t="s">
        <v>39</v>
      </c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80.8</v>
      </c>
      <c r="F37" s="5" t="n">
        <v>12376024.47</v>
      </c>
      <c r="G37" s="6" t="n">
        <v>0.012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56.06</v>
      </c>
      <c r="F38" s="5" t="n">
        <v>17838652.96</v>
      </c>
      <c r="G38" s="6" t="n">
        <v>0.011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93.07</v>
      </c>
      <c r="F39" s="5" t="n">
        <v>10744624.65</v>
      </c>
      <c r="G39" s="6" t="n">
        <v>0.006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54.82</v>
      </c>
      <c r="F40" s="5" t="n">
        <v>18242952.28</v>
      </c>
      <c r="G40" s="6" t="n">
        <v>0.337</v>
      </c>
      <c r="H40" s="1" t="n">
        <v>0.04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94.29</v>
      </c>
      <c r="F41" s="5" t="n">
        <v>10605265.22</v>
      </c>
      <c r="G41" s="6" t="n">
        <v>0.111</v>
      </c>
      <c r="H41" s="1" t="n">
        <v>0.07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30.45</v>
      </c>
      <c r="F42" s="5" t="n">
        <v>32835690.78</v>
      </c>
      <c r="G42" s="6" t="n">
        <v>0.018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103.82</v>
      </c>
      <c r="F43" s="5" t="n">
        <v>9632142.57</v>
      </c>
      <c r="G43" s="6" t="n">
        <v>0.031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75.44</v>
      </c>
      <c r="F44" s="5" t="n">
        <v>13255763.3</v>
      </c>
      <c r="G44" s="6" t="n">
        <v>0.133</v>
      </c>
      <c r="H44" s="1" t="n">
        <v>0.21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146.82</v>
      </c>
      <c r="F45" s="5" t="n">
        <v>6810995.17</v>
      </c>
      <c r="G45" s="6" t="n">
        <v>0.019</v>
      </c>
      <c r="H45" s="1" t="n">
        <v>0.42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85.65</v>
      </c>
      <c r="F46" s="5" t="n">
        <v>11675000.28</v>
      </c>
      <c r="G46" s="6" t="n">
        <v>0.019</v>
      </c>
      <c r="H46" s="1" t="n">
        <v>0.24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201.08</v>
      </c>
      <c r="F47" s="5" t="n">
        <v>4973131.2</v>
      </c>
      <c r="G47" s="6" t="n">
        <v>0.073</v>
      </c>
      <c r="H47" s="1" t="n">
        <v>0.59</v>
      </c>
      <c r="I47" s="1" t="s">
        <v>39</v>
      </c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40.43</v>
      </c>
      <c r="F48" s="5" t="n">
        <v>24732507.31</v>
      </c>
      <c r="G48" s="6" t="n">
        <v>0.028</v>
      </c>
      <c r="H48" s="1" t="n">
        <v>0.22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173.77</v>
      </c>
      <c r="F49" s="5" t="n">
        <v>5754887.51</v>
      </c>
      <c r="G49" s="6" t="n">
        <v>0.013</v>
      </c>
      <c r="H49" s="1" t="n">
        <v>0.51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17.12</v>
      </c>
      <c r="F50" s="5" t="n">
        <v>58408316.34</v>
      </c>
      <c r="G50" s="6" t="n">
        <v>0.008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57.84</v>
      </c>
      <c r="F51" s="5" t="n">
        <v>17290287.72</v>
      </c>
      <c r="G51" s="6" t="n">
        <v>0.018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13.75</v>
      </c>
      <c r="F52" s="5" t="n">
        <v>72744063.79</v>
      </c>
      <c r="G52" s="6" t="n">
        <v>0.04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36.52</v>
      </c>
      <c r="F53" s="5" t="n">
        <v>27379130.1</v>
      </c>
      <c r="G53" s="6" t="n">
        <v>0.019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18.72</v>
      </c>
      <c r="F54" s="5" t="n">
        <v>53412617.69</v>
      </c>
      <c r="G54" s="6" t="n">
        <v>0.045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59.53</v>
      </c>
      <c r="F55" s="5" t="n">
        <v>16798933.66</v>
      </c>
      <c r="G55" s="6" t="n">
        <v>0.019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18.8</v>
      </c>
      <c r="F56" s="5" t="n">
        <v>53203096.59</v>
      </c>
      <c r="G56" s="6" t="n">
        <v>0.056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79.26</v>
      </c>
      <c r="F57" s="5" t="n">
        <v>12617043.02</v>
      </c>
      <c r="G57" s="6" t="n">
        <v>0.006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16.18</v>
      </c>
      <c r="F58" s="5" t="n">
        <v>61787011.3</v>
      </c>
      <c r="G58" s="6" t="n">
        <v>0.079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53.25</v>
      </c>
      <c r="F59" s="5" t="n">
        <v>18781043.34</v>
      </c>
      <c r="G59" s="6" t="n">
        <v>0.013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20.78</v>
      </c>
      <c r="F60" s="5" t="n">
        <v>48121007.42</v>
      </c>
      <c r="G60" s="6" t="n">
        <v>0.04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78.12</v>
      </c>
      <c r="F61" s="5" t="n">
        <v>12801370.15</v>
      </c>
      <c r="G61" s="6" t="n">
        <v>0.009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18.59</v>
      </c>
      <c r="F62" s="5" t="n">
        <v>53779305.93</v>
      </c>
      <c r="G62" s="6" t="n">
        <v>0.036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117.72</v>
      </c>
      <c r="F63" s="5" t="n">
        <v>8494668.21</v>
      </c>
      <c r="G63" s="6" t="n">
        <v>0.016</v>
      </c>
      <c r="H63" s="1" t="n">
        <v>0.08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32.41</v>
      </c>
      <c r="F64" s="5" t="n">
        <v>30851940.25</v>
      </c>
      <c r="G64" s="6" t="n">
        <v>0.019</v>
      </c>
      <c r="H64" s="1" t="n">
        <v>0.02</v>
      </c>
      <c r="I64" s="1"/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94.86</v>
      </c>
      <c r="F65" s="5" t="n">
        <v>10542334.38</v>
      </c>
      <c r="G65" s="6" t="n">
        <v>0.021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25.44</v>
      </c>
      <c r="F66" s="5" t="n">
        <v>39315812.71</v>
      </c>
      <c r="G66" s="6" t="n">
        <v>0.049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114.28</v>
      </c>
      <c r="F67" s="5" t="n">
        <v>8750767.11</v>
      </c>
      <c r="G67" s="6" t="n">
        <v>0.007</v>
      </c>
      <c r="H67" s="1" t="n">
        <v>0.08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26.14</v>
      </c>
      <c r="F68" s="5" t="n">
        <v>38252382.78</v>
      </c>
      <c r="G68" s="6" t="n">
        <v>0.082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197.41</v>
      </c>
      <c r="F69" s="5" t="n">
        <v>5065576.71</v>
      </c>
      <c r="G69" s="6" t="n">
        <v>0.019</v>
      </c>
      <c r="H69" s="1" t="n">
        <v>0.57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35.42</v>
      </c>
      <c r="F70" s="5" t="n">
        <v>28229962.89</v>
      </c>
      <c r="G70" s="6" t="n">
        <v>0.028</v>
      </c>
      <c r="H70" s="1" t="n">
        <v>0.1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172.56</v>
      </c>
      <c r="F71" s="5" t="n">
        <v>5795031.53</v>
      </c>
      <c r="G71" s="6" t="n">
        <v>0.019</v>
      </c>
      <c r="H71" s="1" t="n">
        <v>0.49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32.08</v>
      </c>
      <c r="F72" s="5" t="n">
        <v>31173042.95</v>
      </c>
      <c r="G72" s="6" t="n">
        <v>0.039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211.03</v>
      </c>
      <c r="F73" s="5" t="n">
        <v>4738693.53</v>
      </c>
      <c r="G73" s="6" t="n">
        <v>0.008</v>
      </c>
      <c r="H73" s="1" t="n">
        <v>0.61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48.88</v>
      </c>
      <c r="F2" s="5" t="n">
        <v>20457731.42</v>
      </c>
      <c r="G2" s="6" t="n">
        <v>0.03</v>
      </c>
      <c r="H2" s="1" t="n">
        <v>0.12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39.1</v>
      </c>
      <c r="F3" s="5" t="n">
        <v>25572269.44</v>
      </c>
      <c r="G3" s="6" t="n">
        <v>0.014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14.16</v>
      </c>
      <c r="F4" s="5" t="n">
        <v>70634362.45</v>
      </c>
      <c r="G4" s="6" t="n">
        <v>0.055</v>
      </c>
      <c r="H4" s="1" t="n">
        <v>0.04</v>
      </c>
      <c r="I4" s="1" t="s">
        <v>39</v>
      </c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12.97</v>
      </c>
      <c r="F5" s="5" t="n">
        <v>77107490.23</v>
      </c>
      <c r="G5" s="6" t="n">
        <v>0.003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9.98</v>
      </c>
      <c r="F6" s="5" t="n">
        <v>100171316.42</v>
      </c>
      <c r="G6" s="6" t="n">
        <v>0.035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11.58</v>
      </c>
      <c r="F7" s="5" t="n">
        <v>86383663.82</v>
      </c>
      <c r="G7" s="6" t="n">
        <v>0.007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69.93</v>
      </c>
      <c r="F8" s="5" t="n">
        <v>14300307.2</v>
      </c>
      <c r="G8" s="6" t="n">
        <v>0.006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63.23</v>
      </c>
      <c r="F9" s="5" t="n">
        <v>15816125.65</v>
      </c>
      <c r="G9" s="6" t="n">
        <v>0.018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26.81</v>
      </c>
      <c r="F10" s="5" t="n">
        <v>37305582.13</v>
      </c>
      <c r="G10" s="6" t="n">
        <v>0.005</v>
      </c>
      <c r="H10" s="1" t="n">
        <v>0.07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25.08</v>
      </c>
      <c r="F11" s="5" t="n">
        <v>39878850.5</v>
      </c>
      <c r="G11" s="6" t="n">
        <v>0.024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17.7</v>
      </c>
      <c r="F12" s="5" t="n">
        <v>56495128.01</v>
      </c>
      <c r="G12" s="6" t="n">
        <v>0.006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21.28</v>
      </c>
      <c r="F13" s="5" t="n">
        <v>46985698.84</v>
      </c>
      <c r="G13" s="6" t="n">
        <v>0.006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106.37</v>
      </c>
      <c r="F14" s="5" t="n">
        <v>9401223.06</v>
      </c>
      <c r="G14" s="6" t="n">
        <v>0.01</v>
      </c>
      <c r="H14" s="1" t="n">
        <v>0.26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99.87</v>
      </c>
      <c r="F15" s="5" t="n">
        <v>10013302.9</v>
      </c>
      <c r="G15" s="6" t="n">
        <v>0.014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41.5</v>
      </c>
      <c r="F16" s="5" t="n">
        <v>24095634.77</v>
      </c>
      <c r="G16" s="6" t="n">
        <v>0.003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37.67</v>
      </c>
      <c r="F17" s="5" t="n">
        <v>26549638.42</v>
      </c>
      <c r="G17" s="6" t="n">
        <v>0.005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27.25</v>
      </c>
      <c r="F18" s="5" t="n">
        <v>36700168.66</v>
      </c>
      <c r="G18" s="6" t="n">
        <v>0.01</v>
      </c>
      <c r="H18" s="1" t="n">
        <v>0.07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30.21</v>
      </c>
      <c r="F19" s="5" t="n">
        <v>33100621.49</v>
      </c>
      <c r="G19" s="6" t="n">
        <v>0.004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209.23</v>
      </c>
      <c r="F20" s="5" t="n">
        <v>4779410.42</v>
      </c>
      <c r="G20" s="6" t="n">
        <v>0.072</v>
      </c>
      <c r="H20" s="1" t="n">
        <v>0.5</v>
      </c>
      <c r="I20" s="1" t="s">
        <v>39</v>
      </c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241.52</v>
      </c>
      <c r="F21" s="5" t="n">
        <v>4140518.17</v>
      </c>
      <c r="G21" s="6" t="n">
        <v>0.099</v>
      </c>
      <c r="H21" s="1" t="n">
        <v>0.61</v>
      </c>
      <c r="I21" s="1" t="s">
        <v>39</v>
      </c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82.31</v>
      </c>
      <c r="F22" s="5" t="n">
        <v>12149867</v>
      </c>
      <c r="G22" s="6" t="n">
        <v>0.02</v>
      </c>
      <c r="H22" s="1" t="n">
        <v>0.2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71.1</v>
      </c>
      <c r="F23" s="5" t="n">
        <v>14064636.77</v>
      </c>
      <c r="G23" s="6" t="n">
        <v>0.006</v>
      </c>
      <c r="H23" s="1" t="n">
        <v>0.16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49.87</v>
      </c>
      <c r="F24" s="5" t="n">
        <v>20050401.91</v>
      </c>
      <c r="G24" s="6" t="n">
        <v>0.014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52.11</v>
      </c>
      <c r="F25" s="5" t="n">
        <v>19191176.1</v>
      </c>
      <c r="G25" s="6" t="n">
        <v>0.004</v>
      </c>
      <c r="H25" s="1" t="n">
        <v>0.13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19.85</v>
      </c>
      <c r="F26" s="5" t="n">
        <v>50372010.08</v>
      </c>
      <c r="G26" s="6" t="n">
        <v>0.049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56.45</v>
      </c>
      <c r="F27" s="5" t="n">
        <v>17714424.11</v>
      </c>
      <c r="G27" s="6" t="n">
        <v>0.023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21.97</v>
      </c>
      <c r="F28" s="5" t="n">
        <v>45509088.48</v>
      </c>
      <c r="G28" s="6" t="n">
        <v>0.017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36.45</v>
      </c>
      <c r="F29" s="5" t="n">
        <v>27437451.85</v>
      </c>
      <c r="G29" s="6" t="n">
        <v>0.018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24.17</v>
      </c>
      <c r="F30" s="5" t="n">
        <v>41368305.17</v>
      </c>
      <c r="G30" s="6" t="n">
        <v>0.018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59.21</v>
      </c>
      <c r="F31" s="5" t="n">
        <v>16888075.27</v>
      </c>
      <c r="G31" s="6" t="n">
        <v>0.022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25.27</v>
      </c>
      <c r="F32" s="5" t="n">
        <v>39578607.65</v>
      </c>
      <c r="G32" s="6" t="n">
        <v>0.073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72.07</v>
      </c>
      <c r="F33" s="5" t="n">
        <v>13875115.49</v>
      </c>
      <c r="G33" s="6" t="n">
        <v>0.016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28.26</v>
      </c>
      <c r="F34" s="5" t="n">
        <v>35383246.52</v>
      </c>
      <c r="G34" s="6" t="n">
        <v>0.024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57.74</v>
      </c>
      <c r="F35" s="5" t="n">
        <v>17319257.21</v>
      </c>
      <c r="G35" s="6" t="n">
        <v>0.009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27.11</v>
      </c>
      <c r="F36" s="5" t="n">
        <v>36886279.31</v>
      </c>
      <c r="G36" s="6" t="n">
        <v>0.027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78.08</v>
      </c>
      <c r="F37" s="5" t="n">
        <v>12807123.96</v>
      </c>
      <c r="G37" s="6" t="n">
        <v>0.008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57.7</v>
      </c>
      <c r="F38" s="5" t="n">
        <v>17330922.62</v>
      </c>
      <c r="G38" s="6" t="n">
        <v>0.099</v>
      </c>
      <c r="H38" s="1" t="n">
        <v>0.04</v>
      </c>
      <c r="I38" s="1" t="s">
        <v>39</v>
      </c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96.21</v>
      </c>
      <c r="F39" s="5" t="n">
        <v>10393644.04</v>
      </c>
      <c r="G39" s="6" t="n">
        <v>0.014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58.86</v>
      </c>
      <c r="F40" s="5" t="n">
        <v>16990734.9</v>
      </c>
      <c r="G40" s="6" t="n">
        <v>0.263</v>
      </c>
      <c r="H40" s="1" t="n">
        <v>0.04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100.23</v>
      </c>
      <c r="F41" s="5" t="n">
        <v>9977297.75</v>
      </c>
      <c r="G41" s="6" t="n">
        <v>0.098</v>
      </c>
      <c r="H41" s="1" t="n">
        <v>0.07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31.04</v>
      </c>
      <c r="F42" s="5" t="n">
        <v>32219162.67</v>
      </c>
      <c r="G42" s="6" t="n">
        <v>0.021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111.69</v>
      </c>
      <c r="F43" s="5" t="n">
        <v>8953144.9</v>
      </c>
      <c r="G43" s="6" t="n">
        <v>0.027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86.87</v>
      </c>
      <c r="F44" s="5" t="n">
        <v>11511009.22</v>
      </c>
      <c r="G44" s="6" t="n">
        <v>0.088</v>
      </c>
      <c r="H44" s="1" t="n">
        <v>0.23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158.5</v>
      </c>
      <c r="F45" s="5" t="n">
        <v>6309041.52</v>
      </c>
      <c r="G45" s="6" t="n">
        <v>0.02</v>
      </c>
      <c r="H45" s="1" t="n">
        <v>0.47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78.3</v>
      </c>
      <c r="F46" s="5" t="n">
        <v>12770808.6</v>
      </c>
      <c r="G46" s="6" t="n">
        <v>0.039</v>
      </c>
      <c r="H46" s="1" t="n">
        <v>0.22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190.37</v>
      </c>
      <c r="F47" s="5" t="n">
        <v>5252964.85</v>
      </c>
      <c r="G47" s="6" t="n">
        <v>0.028</v>
      </c>
      <c r="H47" s="1" t="n">
        <v>0.55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42.87</v>
      </c>
      <c r="F48" s="5" t="n">
        <v>23323644.21</v>
      </c>
      <c r="G48" s="6" t="n">
        <v>0.056</v>
      </c>
      <c r="H48" s="1" t="n">
        <v>0.22</v>
      </c>
      <c r="I48" s="1" t="s">
        <v>39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178.41</v>
      </c>
      <c r="F49" s="5" t="n">
        <v>5605194.5</v>
      </c>
      <c r="G49" s="6" t="n">
        <v>0.016</v>
      </c>
      <c r="H49" s="1" t="n">
        <v>0.52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17.93</v>
      </c>
      <c r="F50" s="5" t="n">
        <v>55774179.93</v>
      </c>
      <c r="G50" s="6" t="n">
        <v>0.011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60.43</v>
      </c>
      <c r="F51" s="5" t="n">
        <v>16547422.34</v>
      </c>
      <c r="G51" s="6" t="n">
        <v>0.017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14.05</v>
      </c>
      <c r="F52" s="5" t="n">
        <v>71188974.05</v>
      </c>
      <c r="G52" s="6" t="n">
        <v>0.035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37.43</v>
      </c>
      <c r="F53" s="5" t="n">
        <v>26717457.67</v>
      </c>
      <c r="G53" s="6" t="n">
        <v>0.024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19.62</v>
      </c>
      <c r="F54" s="5" t="n">
        <v>50956681.84</v>
      </c>
      <c r="G54" s="6" t="n">
        <v>0.035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63.34</v>
      </c>
      <c r="F55" s="5" t="n">
        <v>15786572.93</v>
      </c>
      <c r="G55" s="6" t="n">
        <v>0.022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18.66</v>
      </c>
      <c r="F56" s="5" t="n">
        <v>53578027.25</v>
      </c>
      <c r="G56" s="6" t="n">
        <v>0.05</v>
      </c>
      <c r="H56" s="1" t="n">
        <v>0</v>
      </c>
      <c r="I56" s="1"/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85.61</v>
      </c>
      <c r="F57" s="5" t="n">
        <v>11681255.16</v>
      </c>
      <c r="G57" s="6" t="n">
        <v>0.025</v>
      </c>
      <c r="H57" s="1" t="n">
        <v>0.02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16.85</v>
      </c>
      <c r="F58" s="5" t="n">
        <v>59345977.19</v>
      </c>
      <c r="G58" s="6" t="n">
        <v>0.047</v>
      </c>
      <c r="H58" s="1" t="n">
        <v>0</v>
      </c>
      <c r="I58" s="1"/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54.26</v>
      </c>
      <c r="F59" s="5" t="n">
        <v>18429613.37</v>
      </c>
      <c r="G59" s="6" t="n">
        <v>0.019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24.69</v>
      </c>
      <c r="F60" s="5" t="n">
        <v>40504726.87</v>
      </c>
      <c r="G60" s="6" t="n">
        <v>0.016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80.39</v>
      </c>
      <c r="F61" s="5" t="n">
        <v>12438675.9</v>
      </c>
      <c r="G61" s="6" t="n">
        <v>0.006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20.35</v>
      </c>
      <c r="F62" s="5" t="n">
        <v>49141766.23</v>
      </c>
      <c r="G62" s="6" t="n">
        <v>0.031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124.86</v>
      </c>
      <c r="F63" s="5" t="n">
        <v>8008728.26</v>
      </c>
      <c r="G63" s="6" t="n">
        <v>0.017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30.58</v>
      </c>
      <c r="F64" s="5" t="n">
        <v>32697602.06</v>
      </c>
      <c r="G64" s="6" t="n">
        <v>0.053</v>
      </c>
      <c r="H64" s="1" t="n">
        <v>0.02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97.75</v>
      </c>
      <c r="F65" s="5" t="n">
        <v>10230036.9</v>
      </c>
      <c r="G65" s="6" t="n">
        <v>0.037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28.87</v>
      </c>
      <c r="F66" s="5" t="n">
        <v>34642670.81</v>
      </c>
      <c r="G66" s="6" t="n">
        <v>0.009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119.49</v>
      </c>
      <c r="F67" s="5" t="n">
        <v>8368934.98</v>
      </c>
      <c r="G67" s="6" t="n">
        <v>0.01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26.66</v>
      </c>
      <c r="F68" s="5" t="n">
        <v>37515416.52</v>
      </c>
      <c r="G68" s="6" t="n">
        <v>0.096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205.87</v>
      </c>
      <c r="F69" s="5" t="n">
        <v>4857536.58</v>
      </c>
      <c r="G69" s="6" t="n">
        <v>0.009</v>
      </c>
      <c r="H69" s="1" t="n">
        <v>0.59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41.94</v>
      </c>
      <c r="F70" s="5" t="n">
        <v>23841936.58</v>
      </c>
      <c r="G70" s="6" t="n">
        <v>0.063</v>
      </c>
      <c r="H70" s="1" t="n">
        <v>0.12</v>
      </c>
      <c r="I70" s="1" t="s">
        <v>39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178.05</v>
      </c>
      <c r="F71" s="5" t="n">
        <v>5616289.33</v>
      </c>
      <c r="G71" s="6" t="n">
        <v>0.028</v>
      </c>
      <c r="H71" s="1" t="n">
        <v>0.52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33.96</v>
      </c>
      <c r="F72" s="5" t="n">
        <v>29443805.41</v>
      </c>
      <c r="G72" s="6" t="n">
        <v>0.035</v>
      </c>
      <c r="H72" s="1" t="n">
        <v>0.1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217.68</v>
      </c>
      <c r="F73" s="5" t="n">
        <v>4593938.9</v>
      </c>
      <c r="G73" s="6" t="n">
        <v>0.02</v>
      </c>
      <c r="H73" s="1" t="n">
        <v>0.64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47</v>
      </c>
      <c r="F2" s="5" t="n">
        <v>21278023.59</v>
      </c>
      <c r="G2" s="6" t="n">
        <v>0.012</v>
      </c>
      <c r="H2" s="1" t="n">
        <v>0.12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42.27</v>
      </c>
      <c r="F3" s="5" t="n">
        <v>23659865.35</v>
      </c>
      <c r="G3" s="6" t="n">
        <v>0.014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13.09</v>
      </c>
      <c r="F4" s="5" t="n">
        <v>76421142.75</v>
      </c>
      <c r="G4" s="6" t="n">
        <v>0.011</v>
      </c>
      <c r="H4" s="1" t="n">
        <v>0.03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12.61</v>
      </c>
      <c r="F5" s="5" t="n">
        <v>79273376.44</v>
      </c>
      <c r="G5" s="6" t="n">
        <v>0.026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9.29</v>
      </c>
      <c r="F6" s="5" t="n">
        <v>107593566.62</v>
      </c>
      <c r="G6" s="6" t="n">
        <v>0.009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11.39</v>
      </c>
      <c r="F7" s="5" t="n">
        <v>87791550.61</v>
      </c>
      <c r="G7" s="6" t="n">
        <v>0.015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69.02</v>
      </c>
      <c r="F8" s="5" t="n">
        <v>14489137.83</v>
      </c>
      <c r="G8" s="6" t="n">
        <v>0.003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61.44</v>
      </c>
      <c r="F9" s="5" t="n">
        <v>16275449.05</v>
      </c>
      <c r="G9" s="6" t="n">
        <v>0.002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26.59</v>
      </c>
      <c r="F10" s="5" t="n">
        <v>37607653.58</v>
      </c>
      <c r="G10" s="6" t="n">
        <v>0.006</v>
      </c>
      <c r="H10" s="1" t="n">
        <v>0.07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24.29</v>
      </c>
      <c r="F11" s="5" t="n">
        <v>41171881.48</v>
      </c>
      <c r="G11" s="6" t="n">
        <v>0.01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18.1</v>
      </c>
      <c r="F12" s="5" t="n">
        <v>55253933.1</v>
      </c>
      <c r="G12" s="6" t="n">
        <v>0.003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21.37</v>
      </c>
      <c r="F13" s="5" t="n">
        <v>46794856.67</v>
      </c>
      <c r="G13" s="6" t="n">
        <v>0.005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105.46</v>
      </c>
      <c r="F14" s="5" t="n">
        <v>9481915.55</v>
      </c>
      <c r="G14" s="6" t="n">
        <v>0.009</v>
      </c>
      <c r="H14" s="1" t="n">
        <v>0.26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99.23</v>
      </c>
      <c r="F15" s="5" t="n">
        <v>10077955.37</v>
      </c>
      <c r="G15" s="6" t="n">
        <v>0.003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41.49</v>
      </c>
      <c r="F16" s="5" t="n">
        <v>24102218.24</v>
      </c>
      <c r="G16" s="6" t="n">
        <v>0.011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37.26</v>
      </c>
      <c r="F17" s="5" t="n">
        <v>26841289.67</v>
      </c>
      <c r="G17" s="6" t="n">
        <v>0.003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27.28</v>
      </c>
      <c r="F18" s="5" t="n">
        <v>36658214.15</v>
      </c>
      <c r="G18" s="6" t="n">
        <v>0.019</v>
      </c>
      <c r="H18" s="1" t="n">
        <v>0.07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30.66</v>
      </c>
      <c r="F19" s="5" t="n">
        <v>32614970.78</v>
      </c>
      <c r="G19" s="6" t="n">
        <v>0.017</v>
      </c>
      <c r="H19" s="1" t="n">
        <v>0.08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187.03</v>
      </c>
      <c r="F20" s="5" t="n">
        <v>5346771.91</v>
      </c>
      <c r="G20" s="6" t="n">
        <v>0.033</v>
      </c>
      <c r="H20" s="1" t="n">
        <v>0.46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185.22</v>
      </c>
      <c r="F21" s="5" t="n">
        <v>5398866.08</v>
      </c>
      <c r="G21" s="6" t="n">
        <v>0.036</v>
      </c>
      <c r="H21" s="1" t="n">
        <v>0.49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81.66</v>
      </c>
      <c r="F22" s="5" t="n">
        <v>12245862.28</v>
      </c>
      <c r="G22" s="6" t="n">
        <v>0.028</v>
      </c>
      <c r="H22" s="1" t="n">
        <v>0.22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71.67</v>
      </c>
      <c r="F23" s="5" t="n">
        <v>13953494.92</v>
      </c>
      <c r="G23" s="6" t="n">
        <v>0.014</v>
      </c>
      <c r="H23" s="1" t="n">
        <v>0.17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50.12</v>
      </c>
      <c r="F24" s="5" t="n">
        <v>19951030.04</v>
      </c>
      <c r="G24" s="6" t="n">
        <v>0.014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50.58</v>
      </c>
      <c r="F25" s="5" t="n">
        <v>19771612.63</v>
      </c>
      <c r="G25" s="6" t="n">
        <v>0.006</v>
      </c>
      <c r="H25" s="1" t="n">
        <v>0.12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20.8</v>
      </c>
      <c r="F26" s="5" t="n">
        <v>48086969.79</v>
      </c>
      <c r="G26" s="6" t="n">
        <v>0.059</v>
      </c>
      <c r="H26" s="1" t="n">
        <v>0</v>
      </c>
      <c r="I26" s="1" t="s">
        <v>39</v>
      </c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57.41</v>
      </c>
      <c r="F27" s="5" t="n">
        <v>17418817.09</v>
      </c>
      <c r="G27" s="6" t="n">
        <v>0.021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21.8</v>
      </c>
      <c r="F28" s="5" t="n">
        <v>45864265.96</v>
      </c>
      <c r="G28" s="6" t="n">
        <v>0.012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37.15</v>
      </c>
      <c r="F29" s="5" t="n">
        <v>26919386.43</v>
      </c>
      <c r="G29" s="6" t="n">
        <v>0.011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24.79</v>
      </c>
      <c r="F30" s="5" t="n">
        <v>40339974.59</v>
      </c>
      <c r="G30" s="6" t="n">
        <v>0.008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59.89</v>
      </c>
      <c r="F31" s="5" t="n">
        <v>16695947.08</v>
      </c>
      <c r="G31" s="6" t="n">
        <v>0.022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23.59</v>
      </c>
      <c r="F32" s="5" t="n">
        <v>42391782.45</v>
      </c>
      <c r="G32" s="6" t="n">
        <v>0.055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72.02</v>
      </c>
      <c r="F33" s="5" t="n">
        <v>13884498.67</v>
      </c>
      <c r="G33" s="6" t="n">
        <v>0.011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28.76</v>
      </c>
      <c r="F34" s="5" t="n">
        <v>34770650.38</v>
      </c>
      <c r="G34" s="6" t="n">
        <v>0.046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57.78</v>
      </c>
      <c r="F35" s="5" t="n">
        <v>17307749.19</v>
      </c>
      <c r="G35" s="6" t="n">
        <v>0.005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25.52</v>
      </c>
      <c r="F36" s="5" t="n">
        <v>39191296.78</v>
      </c>
      <c r="G36" s="6" t="n">
        <v>0.024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77.77</v>
      </c>
      <c r="F37" s="5" t="n">
        <v>12858798.87</v>
      </c>
      <c r="G37" s="6" t="n">
        <v>0.011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58.46</v>
      </c>
      <c r="F38" s="5" t="n">
        <v>17104997.01</v>
      </c>
      <c r="G38" s="6" t="n">
        <v>0.032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96.55</v>
      </c>
      <c r="F39" s="5" t="n">
        <v>10357648.32</v>
      </c>
      <c r="G39" s="6" t="n">
        <v>0.015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81.1</v>
      </c>
      <c r="F40" s="5" t="n">
        <v>12330023.8</v>
      </c>
      <c r="G40" s="6" t="n">
        <v>0.029</v>
      </c>
      <c r="H40" s="1" t="n">
        <v>0.05</v>
      </c>
      <c r="I40" s="1"/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107.13</v>
      </c>
      <c r="F41" s="5" t="n">
        <v>9334754.86</v>
      </c>
      <c r="G41" s="6" t="n">
        <v>0.032</v>
      </c>
      <c r="H41" s="1" t="n">
        <v>0.08</v>
      </c>
      <c r="I41" s="1"/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30.7</v>
      </c>
      <c r="F42" s="5" t="n">
        <v>32573050.29</v>
      </c>
      <c r="G42" s="6" t="n">
        <v>0.021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111.58</v>
      </c>
      <c r="F43" s="5" t="n">
        <v>8962387.81</v>
      </c>
      <c r="G43" s="6" t="n">
        <v>0.045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76.25</v>
      </c>
      <c r="F44" s="5" t="n">
        <v>13115603.82</v>
      </c>
      <c r="G44" s="6" t="n">
        <v>0.161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153.23</v>
      </c>
      <c r="F45" s="5" t="n">
        <v>6526109.74</v>
      </c>
      <c r="G45" s="6" t="n">
        <v>0.01</v>
      </c>
      <c r="H45" s="1" t="n">
        <v>0.44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89.29</v>
      </c>
      <c r="F46" s="5" t="n">
        <v>11200060.91</v>
      </c>
      <c r="G46" s="6" t="n">
        <v>0.024</v>
      </c>
      <c r="H46" s="1" t="n">
        <v>0.25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191.6</v>
      </c>
      <c r="F47" s="5" t="n">
        <v>5219258.26</v>
      </c>
      <c r="G47" s="6" t="n">
        <v>0.024</v>
      </c>
      <c r="H47" s="1" t="n">
        <v>0.57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44.25</v>
      </c>
      <c r="F48" s="5" t="n">
        <v>22596415.59</v>
      </c>
      <c r="G48" s="6" t="n">
        <v>0.017</v>
      </c>
      <c r="H48" s="1" t="n">
        <v>0.22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194.47</v>
      </c>
      <c r="F49" s="5" t="n">
        <v>5142111.78</v>
      </c>
      <c r="G49" s="6" t="n">
        <v>0.055</v>
      </c>
      <c r="H49" s="1" t="n">
        <v>0.58</v>
      </c>
      <c r="I49" s="1" t="s">
        <v>39</v>
      </c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17.56</v>
      </c>
      <c r="F50" s="5" t="n">
        <v>56938710.26</v>
      </c>
      <c r="G50" s="6" t="n">
        <v>0.017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58.97</v>
      </c>
      <c r="F51" s="5" t="n">
        <v>16957081.53</v>
      </c>
      <c r="G51" s="6" t="n">
        <v>0.013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15.98</v>
      </c>
      <c r="F52" s="5" t="n">
        <v>62589774.15</v>
      </c>
      <c r="G52" s="6" t="n">
        <v>0.055</v>
      </c>
      <c r="H52" s="1" t="n">
        <v>0</v>
      </c>
      <c r="I52" s="1" t="s">
        <v>39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38.28</v>
      </c>
      <c r="F53" s="5" t="n">
        <v>26120283.39</v>
      </c>
      <c r="G53" s="6" t="n">
        <v>0.019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18.93</v>
      </c>
      <c r="F54" s="5" t="n">
        <v>52840022.19</v>
      </c>
      <c r="G54" s="6" t="n">
        <v>0.041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60.05</v>
      </c>
      <c r="F55" s="5" t="n">
        <v>16652978.92</v>
      </c>
      <c r="G55" s="6" t="n">
        <v>0.011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18.59</v>
      </c>
      <c r="F56" s="5" t="n">
        <v>53779394.19</v>
      </c>
      <c r="G56" s="6" t="n">
        <v>0.059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82.89</v>
      </c>
      <c r="F57" s="5" t="n">
        <v>12063557.51</v>
      </c>
      <c r="G57" s="6" t="n">
        <v>0.014</v>
      </c>
      <c r="H57" s="1" t="n">
        <v>0.02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17.16</v>
      </c>
      <c r="F58" s="5" t="n">
        <v>58278880.66</v>
      </c>
      <c r="G58" s="6" t="n">
        <v>0.093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55.55</v>
      </c>
      <c r="F59" s="5" t="n">
        <v>18001052.55</v>
      </c>
      <c r="G59" s="6" t="n">
        <v>0.015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25.33</v>
      </c>
      <c r="F60" s="5" t="n">
        <v>39481040.23</v>
      </c>
      <c r="G60" s="6" t="n">
        <v>0.045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82.21</v>
      </c>
      <c r="F61" s="5" t="n">
        <v>12163795.48</v>
      </c>
      <c r="G61" s="6" t="n">
        <v>0.011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19.83</v>
      </c>
      <c r="F62" s="5" t="n">
        <v>50425301.9</v>
      </c>
      <c r="G62" s="6" t="n">
        <v>0.035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121.69</v>
      </c>
      <c r="F63" s="5" t="n">
        <v>8217342.28</v>
      </c>
      <c r="G63" s="6" t="n">
        <v>0.014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34.85</v>
      </c>
      <c r="F64" s="5" t="n">
        <v>28696786.85</v>
      </c>
      <c r="G64" s="6" t="n">
        <v>0.043</v>
      </c>
      <c r="H64" s="1" t="n">
        <v>0.03</v>
      </c>
      <c r="I64" s="1"/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97.57</v>
      </c>
      <c r="F65" s="5" t="n">
        <v>10249124.92</v>
      </c>
      <c r="G65" s="6" t="n">
        <v>0.022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30.33</v>
      </c>
      <c r="F66" s="5" t="n">
        <v>32971450.33</v>
      </c>
      <c r="G66" s="6" t="n">
        <v>0.034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122.65</v>
      </c>
      <c r="F67" s="5" t="n">
        <v>8153281.09</v>
      </c>
      <c r="G67" s="6" t="n">
        <v>0.026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29.28</v>
      </c>
      <c r="F68" s="5" t="n">
        <v>34156135.22</v>
      </c>
      <c r="G68" s="6" t="n">
        <v>0.06</v>
      </c>
      <c r="H68" s="1" t="n">
        <v>0.08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211.4</v>
      </c>
      <c r="F69" s="5" t="n">
        <v>4730264.88</v>
      </c>
      <c r="G69" s="6" t="n">
        <v>0.026</v>
      </c>
      <c r="H69" s="1" t="n">
        <v>0.61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37.44</v>
      </c>
      <c r="F70" s="5" t="n">
        <v>26708033.91</v>
      </c>
      <c r="G70" s="6" t="n">
        <v>0.037</v>
      </c>
      <c r="H70" s="1" t="n">
        <v>0.11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182.52</v>
      </c>
      <c r="F71" s="5" t="n">
        <v>5478966.7</v>
      </c>
      <c r="G71" s="6" t="n">
        <v>0.059</v>
      </c>
      <c r="H71" s="1" t="n">
        <v>0.53</v>
      </c>
      <c r="I71" s="1" t="s">
        <v>39</v>
      </c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31.18</v>
      </c>
      <c r="F72" s="5" t="n">
        <v>32071483.55</v>
      </c>
      <c r="G72" s="6" t="n">
        <v>0.027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210.29</v>
      </c>
      <c r="F73" s="5" t="n">
        <v>4755357.6</v>
      </c>
      <c r="G73" s="6" t="n">
        <v>0.013</v>
      </c>
      <c r="H73" s="1" t="n">
        <v>0.61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45.57</v>
      </c>
      <c r="F2" s="5" t="n">
        <v>21944427.77</v>
      </c>
      <c r="G2" s="6" t="n">
        <v>0.013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38.27</v>
      </c>
      <c r="F3" s="5" t="n">
        <v>26129064.28</v>
      </c>
      <c r="G3" s="6" t="n">
        <v>0.023</v>
      </c>
      <c r="H3" s="1" t="n">
        <v>0.09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12.97</v>
      </c>
      <c r="F4" s="5" t="n">
        <v>77090469.49</v>
      </c>
      <c r="G4" s="6" t="n">
        <v>0.008</v>
      </c>
      <c r="H4" s="1" t="n">
        <v>0.03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12.35</v>
      </c>
      <c r="F5" s="5" t="n">
        <v>80956093.9</v>
      </c>
      <c r="G5" s="6" t="n">
        <v>0.005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9.32</v>
      </c>
      <c r="F6" s="5" t="n">
        <v>107340477.69</v>
      </c>
      <c r="G6" s="6" t="n">
        <v>0.008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11.46</v>
      </c>
      <c r="F7" s="5" t="n">
        <v>87276115.62</v>
      </c>
      <c r="G7" s="6" t="n">
        <v>0.012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67.82</v>
      </c>
      <c r="F8" s="5" t="n">
        <v>14744221.7</v>
      </c>
      <c r="G8" s="6" t="n">
        <v>0.007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60.21</v>
      </c>
      <c r="F9" s="5" t="n">
        <v>16608417.73</v>
      </c>
      <c r="G9" s="6" t="n">
        <v>0.007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26.02</v>
      </c>
      <c r="F10" s="5" t="n">
        <v>38432894.14</v>
      </c>
      <c r="G10" s="6" t="n">
        <v>0.008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23.79</v>
      </c>
      <c r="F11" s="5" t="n">
        <v>42040066.9</v>
      </c>
      <c r="G11" s="6" t="n">
        <v>0.002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17.66</v>
      </c>
      <c r="F12" s="5" t="n">
        <v>56615206.24</v>
      </c>
      <c r="G12" s="6" t="n">
        <v>0.004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20.95</v>
      </c>
      <c r="F13" s="5" t="n">
        <v>47743107.67</v>
      </c>
      <c r="G13" s="6" t="n">
        <v>0.006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103.25</v>
      </c>
      <c r="F14" s="5" t="n">
        <v>9684869.52</v>
      </c>
      <c r="G14" s="6" t="n">
        <v>0.003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99.2</v>
      </c>
      <c r="F15" s="5" t="n">
        <v>10080887.97</v>
      </c>
      <c r="G15" s="6" t="n">
        <v>0.022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40.54</v>
      </c>
      <c r="F16" s="5" t="n">
        <v>24666813.41</v>
      </c>
      <c r="G16" s="6" t="n">
        <v>0.009</v>
      </c>
      <c r="H16" s="1" t="n">
        <v>0.11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36.35</v>
      </c>
      <c r="F17" s="5" t="n">
        <v>27512872.89</v>
      </c>
      <c r="G17" s="6" t="n">
        <v>0.007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26.32</v>
      </c>
      <c r="F18" s="5" t="n">
        <v>37996466.71</v>
      </c>
      <c r="G18" s="6" t="n">
        <v>0.004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29.44</v>
      </c>
      <c r="F19" s="5" t="n">
        <v>33965218.16</v>
      </c>
      <c r="G19" s="6" t="n">
        <v>0.004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184</v>
      </c>
      <c r="F20" s="5" t="n">
        <v>5434690.42</v>
      </c>
      <c r="G20" s="6" t="n">
        <v>0.016</v>
      </c>
      <c r="H20" s="1" t="n">
        <v>0.45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179.93</v>
      </c>
      <c r="F21" s="5" t="n">
        <v>5557847.28</v>
      </c>
      <c r="G21" s="6" t="n">
        <v>0.016</v>
      </c>
      <c r="H21" s="1" t="n">
        <v>0.44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82.21</v>
      </c>
      <c r="F22" s="5" t="n">
        <v>12164639.01</v>
      </c>
      <c r="G22" s="6" t="n">
        <v>0.06</v>
      </c>
      <c r="H22" s="1" t="n">
        <v>0.2</v>
      </c>
      <c r="I22" s="1" t="s">
        <v>39</v>
      </c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71.46</v>
      </c>
      <c r="F23" s="5" t="n">
        <v>13993975.61</v>
      </c>
      <c r="G23" s="6" t="n">
        <v>0.025</v>
      </c>
      <c r="H23" s="1" t="n">
        <v>0.16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46.7</v>
      </c>
      <c r="F24" s="5" t="n">
        <v>21412588.03</v>
      </c>
      <c r="G24" s="6" t="n">
        <v>0.003</v>
      </c>
      <c r="H24" s="1" t="n">
        <v>0.11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55.55</v>
      </c>
      <c r="F25" s="5" t="n">
        <v>18002786.62</v>
      </c>
      <c r="G25" s="6" t="n">
        <v>0.055</v>
      </c>
      <c r="H25" s="1" t="n">
        <v>0.15</v>
      </c>
      <c r="I25" s="1" t="s">
        <v>39</v>
      </c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19.7</v>
      </c>
      <c r="F26" s="5" t="n">
        <v>50753370.34</v>
      </c>
      <c r="G26" s="6" t="n">
        <v>0.029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55.18</v>
      </c>
      <c r="F27" s="5" t="n">
        <v>18122690.97</v>
      </c>
      <c r="G27" s="6" t="n">
        <v>0.009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21.81</v>
      </c>
      <c r="F28" s="5" t="n">
        <v>45851943.89</v>
      </c>
      <c r="G28" s="6" t="n">
        <v>0.011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36.62</v>
      </c>
      <c r="F29" s="5" t="n">
        <v>27308305.16</v>
      </c>
      <c r="G29" s="6" t="n">
        <v>0.023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23.48</v>
      </c>
      <c r="F30" s="5" t="n">
        <v>42587701.97</v>
      </c>
      <c r="G30" s="6" t="n">
        <v>0.041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62.28</v>
      </c>
      <c r="F31" s="5" t="n">
        <v>16057392.63</v>
      </c>
      <c r="G31" s="6" t="n">
        <v>0.024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24.27</v>
      </c>
      <c r="F32" s="5" t="n">
        <v>41196053.39</v>
      </c>
      <c r="G32" s="6" t="n">
        <v>0.052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76.13</v>
      </c>
      <c r="F33" s="5" t="n">
        <v>13135836.12</v>
      </c>
      <c r="G33" s="6" t="n">
        <v>0.038</v>
      </c>
      <c r="H33" s="1" t="n">
        <v>0.02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62.25</v>
      </c>
      <c r="F34" s="5" t="n">
        <v>16064619.3</v>
      </c>
      <c r="G34" s="6" t="n">
        <v>0.176</v>
      </c>
      <c r="H34" s="1" t="n">
        <v>0.01</v>
      </c>
      <c r="I34" s="1" t="s">
        <v>39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101.74</v>
      </c>
      <c r="F35" s="5" t="n">
        <v>9828699.63</v>
      </c>
      <c r="G35" s="6" t="n">
        <v>0.056</v>
      </c>
      <c r="H35" s="1" t="n">
        <v>0.02</v>
      </c>
      <c r="I35" s="1" t="s">
        <v>39</v>
      </c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25.75</v>
      </c>
      <c r="F36" s="5" t="n">
        <v>38828601.02</v>
      </c>
      <c r="G36" s="6" t="n">
        <v>0.053</v>
      </c>
      <c r="H36" s="1" t="n">
        <v>0</v>
      </c>
      <c r="I36" s="1" t="s">
        <v>39</v>
      </c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87.43</v>
      </c>
      <c r="F37" s="5" t="n">
        <v>11437075.84</v>
      </c>
      <c r="G37" s="6" t="n">
        <v>0.018</v>
      </c>
      <c r="H37" s="1" t="n">
        <v>0.02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58.09</v>
      </c>
      <c r="F38" s="5" t="n">
        <v>17214980</v>
      </c>
      <c r="G38" s="6" t="n">
        <v>0.121</v>
      </c>
      <c r="H38" s="1" t="n">
        <v>0.04</v>
      </c>
      <c r="I38" s="1" t="s">
        <v>39</v>
      </c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97.21</v>
      </c>
      <c r="F39" s="5" t="n">
        <v>10287074.62</v>
      </c>
      <c r="G39" s="6" t="n">
        <v>0.013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81.01</v>
      </c>
      <c r="F40" s="5" t="n">
        <v>12343760.62</v>
      </c>
      <c r="G40" s="6" t="n">
        <v>0.033</v>
      </c>
      <c r="H40" s="1" t="n">
        <v>0.05</v>
      </c>
      <c r="I40" s="1"/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103.28</v>
      </c>
      <c r="F41" s="5" t="n">
        <v>9682731.57</v>
      </c>
      <c r="G41" s="6" t="n">
        <v>0.05</v>
      </c>
      <c r="H41" s="1" t="n">
        <v>0.07</v>
      </c>
      <c r="I41" s="1"/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30.37</v>
      </c>
      <c r="F42" s="5" t="n">
        <v>32929668.21</v>
      </c>
      <c r="G42" s="6" t="n">
        <v>0.023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111.05</v>
      </c>
      <c r="F43" s="5" t="n">
        <v>9005269.24</v>
      </c>
      <c r="G43" s="6" t="n">
        <v>0.007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87.67</v>
      </c>
      <c r="F44" s="5" t="n">
        <v>11406565.49</v>
      </c>
      <c r="G44" s="6" t="n">
        <v>0.138</v>
      </c>
      <c r="H44" s="1" t="n">
        <v>0.23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172.95</v>
      </c>
      <c r="F45" s="5" t="n">
        <v>5781948.39</v>
      </c>
      <c r="G45" s="6" t="n">
        <v>0.04</v>
      </c>
      <c r="H45" s="1" t="n">
        <v>0.49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93.62</v>
      </c>
      <c r="F46" s="5" t="n">
        <v>10681094.58</v>
      </c>
      <c r="G46" s="6" t="n">
        <v>0.057</v>
      </c>
      <c r="H46" s="1" t="n">
        <v>0.26</v>
      </c>
      <c r="I46" s="1" t="s">
        <v>39</v>
      </c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253.56</v>
      </c>
      <c r="F47" s="5" t="n">
        <v>3943793.01</v>
      </c>
      <c r="G47" s="6" t="n">
        <v>0.164</v>
      </c>
      <c r="H47" s="1" t="n">
        <v>0.78</v>
      </c>
      <c r="I47" s="1" t="s">
        <v>39</v>
      </c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44.65</v>
      </c>
      <c r="F48" s="5" t="n">
        <v>22394355.21</v>
      </c>
      <c r="G48" s="6" t="n">
        <v>0.065</v>
      </c>
      <c r="H48" s="1" t="n">
        <v>0.24</v>
      </c>
      <c r="I48" s="1" t="s">
        <v>39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217.31</v>
      </c>
      <c r="F49" s="5" t="n">
        <v>4601782.08</v>
      </c>
      <c r="G49" s="6" t="n">
        <v>0.13</v>
      </c>
      <c r="H49" s="1" t="n">
        <v>0.68</v>
      </c>
      <c r="I49" s="1" t="s">
        <v>39</v>
      </c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18.52</v>
      </c>
      <c r="F50" s="5" t="n">
        <v>54008438.82</v>
      </c>
      <c r="G50" s="6" t="n">
        <v>0.044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62.3</v>
      </c>
      <c r="F51" s="5" t="n">
        <v>16050156.74</v>
      </c>
      <c r="G51" s="6" t="n">
        <v>0.015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14.87</v>
      </c>
      <c r="F52" s="5" t="n">
        <v>67265531.34</v>
      </c>
      <c r="G52" s="6" t="n">
        <v>0.023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40.61</v>
      </c>
      <c r="F53" s="5" t="n">
        <v>24625595.95</v>
      </c>
      <c r="G53" s="6" t="n">
        <v>0.008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20.43</v>
      </c>
      <c r="F54" s="5" t="n">
        <v>48953054.79</v>
      </c>
      <c r="G54" s="6" t="n">
        <v>0.026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63.47</v>
      </c>
      <c r="F55" s="5" t="n">
        <v>15756330.81</v>
      </c>
      <c r="G55" s="6" t="n">
        <v>0.02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19.03</v>
      </c>
      <c r="F56" s="5" t="n">
        <v>52561675.92</v>
      </c>
      <c r="G56" s="6" t="n">
        <v>0.062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86.86</v>
      </c>
      <c r="F57" s="5" t="n">
        <v>11513185.63</v>
      </c>
      <c r="G57" s="6" t="n">
        <v>0.01</v>
      </c>
      <c r="H57" s="1" t="n">
        <v>0.02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17.71</v>
      </c>
      <c r="F58" s="5" t="n">
        <v>56466566.03</v>
      </c>
      <c r="G58" s="6" t="n">
        <v>0.057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56.57</v>
      </c>
      <c r="F59" s="5" t="n">
        <v>17677230.85</v>
      </c>
      <c r="G59" s="6" t="n">
        <v>0.014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24.99</v>
      </c>
      <c r="F60" s="5" t="n">
        <v>40021789.21</v>
      </c>
      <c r="G60" s="6" t="n">
        <v>0.02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82.88</v>
      </c>
      <c r="F61" s="5" t="n">
        <v>12065280.95</v>
      </c>
      <c r="G61" s="6" t="n">
        <v>0.008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19.81</v>
      </c>
      <c r="F62" s="5" t="n">
        <v>50473419.36</v>
      </c>
      <c r="G62" s="6" t="n">
        <v>0.018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126.09</v>
      </c>
      <c r="F63" s="5" t="n">
        <v>7930651.33</v>
      </c>
      <c r="G63" s="6" t="n">
        <v>0.03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32.04</v>
      </c>
      <c r="F64" s="5" t="n">
        <v>31210532.03</v>
      </c>
      <c r="G64" s="6" t="n">
        <v>0.033</v>
      </c>
      <c r="H64" s="1" t="n">
        <v>0.02</v>
      </c>
      <c r="I64" s="1"/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103.01</v>
      </c>
      <c r="F65" s="5" t="n">
        <v>9707342.93</v>
      </c>
      <c r="G65" s="6" t="n">
        <v>0.042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30.37</v>
      </c>
      <c r="F66" s="5" t="n">
        <v>32928162.58</v>
      </c>
      <c r="G66" s="6" t="n">
        <v>0.017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315.75</v>
      </c>
      <c r="F67" s="5" t="n">
        <v>3167109.84</v>
      </c>
      <c r="G67" s="6" t="n">
        <v>0.116</v>
      </c>
      <c r="H67" s="1" t="n">
        <v>0.19</v>
      </c>
      <c r="I67" s="1" t="s">
        <v>39</v>
      </c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60.29</v>
      </c>
      <c r="F68" s="5" t="n">
        <v>16587455.51</v>
      </c>
      <c r="G68" s="6" t="n">
        <v>0.183</v>
      </c>
      <c r="H68" s="1" t="n">
        <v>0.15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370.54</v>
      </c>
      <c r="F69" s="5" t="n">
        <v>2698750.82</v>
      </c>
      <c r="G69" s="6" t="n">
        <v>0.153</v>
      </c>
      <c r="H69" s="1" t="n">
        <v>1.04</v>
      </c>
      <c r="I69" s="1" t="s">
        <v>39</v>
      </c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95.5</v>
      </c>
      <c r="F70" s="5" t="n">
        <v>10470738.26</v>
      </c>
      <c r="G70" s="6" t="n">
        <v>0.159</v>
      </c>
      <c r="H70" s="1" t="n">
        <v>0.26</v>
      </c>
      <c r="I70" s="1" t="s">
        <v>39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202.38</v>
      </c>
      <c r="F71" s="5" t="n">
        <v>4941212.18</v>
      </c>
      <c r="G71" s="6" t="n">
        <v>0.059</v>
      </c>
      <c r="H71" s="1" t="n">
        <v>0.63</v>
      </c>
      <c r="I71" s="1" t="s">
        <v>39</v>
      </c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37.76</v>
      </c>
      <c r="F72" s="5" t="n">
        <v>26481299.72</v>
      </c>
      <c r="G72" s="6" t="n">
        <v>0.054</v>
      </c>
      <c r="H72" s="1" t="n">
        <v>0.11</v>
      </c>
      <c r="I72" s="1" t="s">
        <v>39</v>
      </c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214.47</v>
      </c>
      <c r="F73" s="5" t="n">
        <v>4662625.08</v>
      </c>
      <c r="G73" s="6" t="n">
        <v>0.029</v>
      </c>
      <c r="H73" s="1" t="n">
        <v>0.66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49.55</v>
      </c>
      <c r="F2" s="5" t="n">
        <v>20182484.03</v>
      </c>
      <c r="G2" s="6" t="n">
        <v>0.017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40.23</v>
      </c>
      <c r="F3" s="5" t="n">
        <v>24857051.4</v>
      </c>
      <c r="G3" s="6" t="n">
        <v>0.01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15.2</v>
      </c>
      <c r="F4" s="5" t="n">
        <v>65809906.43</v>
      </c>
      <c r="G4" s="6" t="n">
        <v>0.034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11.26</v>
      </c>
      <c r="F5" s="5" t="n">
        <v>88795802.34</v>
      </c>
      <c r="G5" s="6" t="n">
        <v>0.005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9.22</v>
      </c>
      <c r="F6" s="5" t="n">
        <v>108504373.67</v>
      </c>
      <c r="G6" s="6" t="n">
        <v>0.021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11.59</v>
      </c>
      <c r="F7" s="5" t="n">
        <v>86273534.33</v>
      </c>
      <c r="G7" s="6" t="n">
        <v>0.01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69.84</v>
      </c>
      <c r="F8" s="5" t="n">
        <v>14318260.74</v>
      </c>
      <c r="G8" s="6" t="n">
        <v>0.005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60.27</v>
      </c>
      <c r="F9" s="5" t="n">
        <v>16593259.43</v>
      </c>
      <c r="G9" s="6" t="n">
        <v>0.005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26.49</v>
      </c>
      <c r="F10" s="5" t="n">
        <v>37756046.39</v>
      </c>
      <c r="G10" s="6" t="n">
        <v>0.008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23.8</v>
      </c>
      <c r="F11" s="5" t="n">
        <v>42023062.12</v>
      </c>
      <c r="G11" s="6" t="n">
        <v>0.012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17.46</v>
      </c>
      <c r="F12" s="5" t="n">
        <v>57260267.43</v>
      </c>
      <c r="G12" s="6" t="n">
        <v>0.005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20.91</v>
      </c>
      <c r="F13" s="5" t="n">
        <v>47817709.66</v>
      </c>
      <c r="G13" s="6" t="n">
        <v>0.022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100.69</v>
      </c>
      <c r="F14" s="5" t="n">
        <v>9931599.83</v>
      </c>
      <c r="G14" s="6" t="n">
        <v>0.008</v>
      </c>
      <c r="H14" s="1" t="n">
        <v>0.24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95.37</v>
      </c>
      <c r="F15" s="5" t="n">
        <v>10485281.4</v>
      </c>
      <c r="G15" s="6" t="n">
        <v>0.012</v>
      </c>
      <c r="H15" s="1" t="n">
        <v>0.23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39.98</v>
      </c>
      <c r="F16" s="5" t="n">
        <v>25013908.75</v>
      </c>
      <c r="G16" s="6" t="n">
        <v>0.009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36.86</v>
      </c>
      <c r="F17" s="5" t="n">
        <v>27127313.19</v>
      </c>
      <c r="G17" s="6" t="n">
        <v>0.021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26.31</v>
      </c>
      <c r="F18" s="5" t="n">
        <v>38005205.34</v>
      </c>
      <c r="G18" s="6" t="n">
        <v>0.006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29.41</v>
      </c>
      <c r="F19" s="5" t="n">
        <v>34003946.82</v>
      </c>
      <c r="G19" s="6" t="n">
        <v>0.005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186.61</v>
      </c>
      <c r="F20" s="5" t="n">
        <v>5358900.31</v>
      </c>
      <c r="G20" s="6" t="n">
        <v>0.034</v>
      </c>
      <c r="H20" s="1" t="n">
        <v>0.46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180.55</v>
      </c>
      <c r="F21" s="5" t="n">
        <v>5538609.64</v>
      </c>
      <c r="G21" s="6" t="n">
        <v>0.02</v>
      </c>
      <c r="H21" s="1" t="n">
        <v>0.44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79.58</v>
      </c>
      <c r="F22" s="5" t="n">
        <v>12565241.1</v>
      </c>
      <c r="G22" s="6" t="n">
        <v>0.011</v>
      </c>
      <c r="H22" s="1" t="n">
        <v>0.17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71.11</v>
      </c>
      <c r="F23" s="5" t="n">
        <v>14062674.54</v>
      </c>
      <c r="G23" s="6" t="n">
        <v>0.011</v>
      </c>
      <c r="H23" s="1" t="n">
        <v>0.17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47.41</v>
      </c>
      <c r="F24" s="5" t="n">
        <v>21094162.98</v>
      </c>
      <c r="G24" s="6" t="n">
        <v>0.02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50.5</v>
      </c>
      <c r="F25" s="5" t="n">
        <v>19800725.54</v>
      </c>
      <c r="G25" s="6" t="n">
        <v>0.006</v>
      </c>
      <c r="H25" s="1" t="n">
        <v>0.12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18.8</v>
      </c>
      <c r="F26" s="5" t="n">
        <v>53203096.59</v>
      </c>
      <c r="G26" s="6" t="n">
        <v>0.022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55.66</v>
      </c>
      <c r="F27" s="5" t="n">
        <v>17966645.9</v>
      </c>
      <c r="G27" s="6" t="n">
        <v>0.016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23.05</v>
      </c>
      <c r="F28" s="5" t="n">
        <v>43378342.6</v>
      </c>
      <c r="G28" s="6" t="n">
        <v>0.031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36.5</v>
      </c>
      <c r="F29" s="5" t="n">
        <v>27396160.79</v>
      </c>
      <c r="G29" s="6" t="n">
        <v>0.019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23.47</v>
      </c>
      <c r="F30" s="5" t="n">
        <v>42615173.33</v>
      </c>
      <c r="G30" s="6" t="n">
        <v>0.035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59.98</v>
      </c>
      <c r="F31" s="5" t="n">
        <v>16672093.78</v>
      </c>
      <c r="G31" s="6" t="n">
        <v>0.021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24.02</v>
      </c>
      <c r="F32" s="5" t="n">
        <v>41639980.89</v>
      </c>
      <c r="G32" s="6" t="n">
        <v>0.043</v>
      </c>
      <c r="H32" s="1" t="n">
        <v>0</v>
      </c>
      <c r="I32" s="1"/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72.45</v>
      </c>
      <c r="F33" s="5" t="n">
        <v>13802794.59</v>
      </c>
      <c r="G33" s="6" t="n">
        <v>0.015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28.38</v>
      </c>
      <c r="F34" s="5" t="n">
        <v>35241305.29</v>
      </c>
      <c r="G34" s="6" t="n">
        <v>0.058</v>
      </c>
      <c r="H34" s="1" t="n">
        <v>0.01</v>
      </c>
      <c r="I34" s="1" t="s">
        <v>39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58.02</v>
      </c>
      <c r="F35" s="5" t="n">
        <v>17235539.04</v>
      </c>
      <c r="G35" s="6" t="n">
        <v>0.016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26.64</v>
      </c>
      <c r="F36" s="5" t="n">
        <v>37542505.71</v>
      </c>
      <c r="G36" s="6" t="n">
        <v>0.033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76.98</v>
      </c>
      <c r="F37" s="5" t="n">
        <v>12990225.62</v>
      </c>
      <c r="G37" s="6" t="n">
        <v>0.012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56.94</v>
      </c>
      <c r="F38" s="5" t="n">
        <v>17561903.19</v>
      </c>
      <c r="G38" s="6" t="n">
        <v>0.032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95.35</v>
      </c>
      <c r="F39" s="5" t="n">
        <v>10487805.54</v>
      </c>
      <c r="G39" s="6" t="n">
        <v>0.019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89.08</v>
      </c>
      <c r="F40" s="5" t="n">
        <v>11225883.39</v>
      </c>
      <c r="G40" s="6" t="n">
        <v>0.041</v>
      </c>
      <c r="H40" s="1" t="n">
        <v>0.05</v>
      </c>
      <c r="I40" s="1"/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114.07</v>
      </c>
      <c r="F41" s="5" t="n">
        <v>8766823.05</v>
      </c>
      <c r="G41" s="6" t="n">
        <v>0.056</v>
      </c>
      <c r="H41" s="1" t="n">
        <v>0.08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31.66</v>
      </c>
      <c r="F42" s="5" t="n">
        <v>31585060.52</v>
      </c>
      <c r="G42" s="6" t="n">
        <v>0.02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107.21</v>
      </c>
      <c r="F43" s="5" t="n">
        <v>9327908.37</v>
      </c>
      <c r="G43" s="6" t="n">
        <v>0.033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77.17</v>
      </c>
      <c r="F44" s="5" t="n">
        <v>12959072.62</v>
      </c>
      <c r="G44" s="6" t="n">
        <v>0.159</v>
      </c>
      <c r="H44" s="1" t="n">
        <v>0.23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155.58</v>
      </c>
      <c r="F45" s="5" t="n">
        <v>6427734.2</v>
      </c>
      <c r="G45" s="6" t="n">
        <v>0.01</v>
      </c>
      <c r="H45" s="1" t="n">
        <v>0.45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76.55</v>
      </c>
      <c r="F46" s="5" t="n">
        <v>13063200.53</v>
      </c>
      <c r="G46" s="6" t="n">
        <v>0.028</v>
      </c>
      <c r="H46" s="1" t="n">
        <v>0.22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195.34</v>
      </c>
      <c r="F47" s="5" t="n">
        <v>5119388.27</v>
      </c>
      <c r="G47" s="6" t="n">
        <v>0.028</v>
      </c>
      <c r="H47" s="1" t="n">
        <v>0.56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42.98</v>
      </c>
      <c r="F48" s="5" t="n">
        <v>23268831.23</v>
      </c>
      <c r="G48" s="6" t="n">
        <v>0.086</v>
      </c>
      <c r="H48" s="1" t="n">
        <v>0.23</v>
      </c>
      <c r="I48" s="1" t="s">
        <v>39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180.92</v>
      </c>
      <c r="F49" s="5" t="n">
        <v>5527369.04</v>
      </c>
      <c r="G49" s="6" t="n">
        <v>0.021</v>
      </c>
      <c r="H49" s="1" t="n">
        <v>0.53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17.52</v>
      </c>
      <c r="F50" s="5" t="n">
        <v>57079152.73</v>
      </c>
      <c r="G50" s="6" t="n">
        <v>0.013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60.22</v>
      </c>
      <c r="F51" s="5" t="n">
        <v>16604507.86</v>
      </c>
      <c r="G51" s="6" t="n">
        <v>0.021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14.72</v>
      </c>
      <c r="F52" s="5" t="n">
        <v>67949568.68</v>
      </c>
      <c r="G52" s="6" t="n">
        <v>0.037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38.82</v>
      </c>
      <c r="F53" s="5" t="n">
        <v>25761492.36</v>
      </c>
      <c r="G53" s="6" t="n">
        <v>0.016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19.49</v>
      </c>
      <c r="F54" s="5" t="n">
        <v>51303890.38</v>
      </c>
      <c r="G54" s="6" t="n">
        <v>0.052</v>
      </c>
      <c r="H54" s="1" t="n">
        <v>0</v>
      </c>
      <c r="I54" s="1" t="s">
        <v>39</v>
      </c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62.71</v>
      </c>
      <c r="F55" s="5" t="n">
        <v>15946678.29</v>
      </c>
      <c r="G55" s="6" t="n">
        <v>0.015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18.91</v>
      </c>
      <c r="F56" s="5" t="n">
        <v>52894440.34</v>
      </c>
      <c r="G56" s="6" t="n">
        <v>0.066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82.61</v>
      </c>
      <c r="F57" s="5" t="n">
        <v>12104349.78</v>
      </c>
      <c r="G57" s="6" t="n">
        <v>0.012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17.34</v>
      </c>
      <c r="F58" s="5" t="n">
        <v>57679579.8</v>
      </c>
      <c r="G58" s="6" t="n">
        <v>0.092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55.72</v>
      </c>
      <c r="F59" s="5" t="n">
        <v>17948400.54</v>
      </c>
      <c r="G59" s="6" t="n">
        <v>0.003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23.91</v>
      </c>
      <c r="F60" s="5" t="n">
        <v>41817040.24</v>
      </c>
      <c r="G60" s="6" t="n">
        <v>0.013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81.7</v>
      </c>
      <c r="F61" s="5" t="n">
        <v>12239168.78</v>
      </c>
      <c r="G61" s="6" t="n">
        <v>0.004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19.55</v>
      </c>
      <c r="F62" s="5" t="n">
        <v>51145617.82</v>
      </c>
      <c r="G62" s="6" t="n">
        <v>0.022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124.46</v>
      </c>
      <c r="F63" s="5" t="n">
        <v>8034846.44</v>
      </c>
      <c r="G63" s="6" t="n">
        <v>0.013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29.45</v>
      </c>
      <c r="F64" s="5" t="n">
        <v>33955192.37</v>
      </c>
      <c r="G64" s="6" t="n">
        <v>0.078</v>
      </c>
      <c r="H64" s="1" t="n">
        <v>0.02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97.9</v>
      </c>
      <c r="F65" s="5" t="n">
        <v>10214035.6</v>
      </c>
      <c r="G65" s="6" t="n">
        <v>0.026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27.62</v>
      </c>
      <c r="F66" s="5" t="n">
        <v>36207174.7</v>
      </c>
      <c r="G66" s="6" t="n">
        <v>0.014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127.36</v>
      </c>
      <c r="F67" s="5" t="n">
        <v>7851745.59</v>
      </c>
      <c r="G67" s="6" t="n">
        <v>0.013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25.53</v>
      </c>
      <c r="F68" s="5" t="n">
        <v>39171327.04</v>
      </c>
      <c r="G68" s="6" t="n">
        <v>0.078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212.47</v>
      </c>
      <c r="F69" s="5" t="n">
        <v>4706636.35</v>
      </c>
      <c r="G69" s="6" t="n">
        <v>0.016</v>
      </c>
      <c r="H69" s="1" t="n">
        <v>0.61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38.65</v>
      </c>
      <c r="F70" s="5" t="n">
        <v>25872893.33</v>
      </c>
      <c r="G70" s="6" t="n">
        <v>0.064</v>
      </c>
      <c r="H70" s="1" t="n">
        <v>0.11</v>
      </c>
      <c r="I70" s="1" t="s">
        <v>39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176.29</v>
      </c>
      <c r="F71" s="5" t="n">
        <v>5672426.3</v>
      </c>
      <c r="G71" s="6" t="n">
        <v>0.039</v>
      </c>
      <c r="H71" s="1" t="n">
        <v>0.5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32.8</v>
      </c>
      <c r="F72" s="5" t="n">
        <v>30484834.51</v>
      </c>
      <c r="G72" s="6" t="n">
        <v>0.02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202.56</v>
      </c>
      <c r="F73" s="5" t="n">
        <v>4936912.39</v>
      </c>
      <c r="G73" s="6" t="n">
        <v>0.016</v>
      </c>
      <c r="H73" s="1" t="n">
        <v>0.58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46.44</v>
      </c>
      <c r="F2" s="5" t="n">
        <v>21533253.78</v>
      </c>
      <c r="G2" s="6" t="n">
        <v>0.009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41.28</v>
      </c>
      <c r="F3" s="5" t="n">
        <v>24224854.42</v>
      </c>
      <c r="G3" s="6" t="n">
        <v>0.006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14.62</v>
      </c>
      <c r="F4" s="5" t="n">
        <v>68407217.94</v>
      </c>
      <c r="G4" s="6" t="n">
        <v>0.01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11.34</v>
      </c>
      <c r="F5" s="5" t="n">
        <v>88214590.13</v>
      </c>
      <c r="G5" s="6" t="n">
        <v>0.005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9.63</v>
      </c>
      <c r="F6" s="5" t="n">
        <v>103852151</v>
      </c>
      <c r="G6" s="6" t="n">
        <v>0.024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11.5</v>
      </c>
      <c r="F7" s="5" t="n">
        <v>86933822.57</v>
      </c>
      <c r="G7" s="6" t="n">
        <v>0.005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69.61</v>
      </c>
      <c r="F8" s="5" t="n">
        <v>14365932.91</v>
      </c>
      <c r="G8" s="6" t="n">
        <v>0.009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61.45</v>
      </c>
      <c r="F9" s="5" t="n">
        <v>16272294.35</v>
      </c>
      <c r="G9" s="6" t="n">
        <v>0.002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26.62</v>
      </c>
      <c r="F10" s="5" t="n">
        <v>37566719.46</v>
      </c>
      <c r="G10" s="6" t="n">
        <v>0.002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24.55</v>
      </c>
      <c r="F11" s="5" t="n">
        <v>40736472.09</v>
      </c>
      <c r="G11" s="6" t="n">
        <v>0.006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18.1</v>
      </c>
      <c r="F12" s="5" t="n">
        <v>55240954.77</v>
      </c>
      <c r="G12" s="6" t="n">
        <v>0.006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21.34</v>
      </c>
      <c r="F13" s="5" t="n">
        <v>46852950.8</v>
      </c>
      <c r="G13" s="6" t="n">
        <v>0.015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102.12</v>
      </c>
      <c r="F14" s="5" t="n">
        <v>9792701.53</v>
      </c>
      <c r="G14" s="6" t="n">
        <v>0.007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97.77</v>
      </c>
      <c r="F15" s="5" t="n">
        <v>10228492.06</v>
      </c>
      <c r="G15" s="6" t="n">
        <v>0.009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40.58</v>
      </c>
      <c r="F16" s="5" t="n">
        <v>24641120.63</v>
      </c>
      <c r="G16" s="6" t="n">
        <v>0.004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36.31</v>
      </c>
      <c r="F17" s="5" t="n">
        <v>27542379.23</v>
      </c>
      <c r="G17" s="6" t="n">
        <v>0.01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26.23</v>
      </c>
      <c r="F18" s="5" t="n">
        <v>38124573.88</v>
      </c>
      <c r="G18" s="6" t="n">
        <v>0.008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30.38</v>
      </c>
      <c r="F19" s="5" t="n">
        <v>32917384.79</v>
      </c>
      <c r="G19" s="6" t="n">
        <v>0.008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185.75</v>
      </c>
      <c r="F20" s="5" t="n">
        <v>5383707.82</v>
      </c>
      <c r="G20" s="6" t="n">
        <v>0.027</v>
      </c>
      <c r="H20" s="1" t="n">
        <v>0.45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175.95</v>
      </c>
      <c r="F21" s="5" t="n">
        <v>5683497.58</v>
      </c>
      <c r="G21" s="6" t="n">
        <v>0.023</v>
      </c>
      <c r="H21" s="1" t="n">
        <v>0.43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77.82</v>
      </c>
      <c r="F22" s="5" t="n">
        <v>12850280.61</v>
      </c>
      <c r="G22" s="6" t="n">
        <v>0.011</v>
      </c>
      <c r="H22" s="1" t="n">
        <v>0.19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74.36</v>
      </c>
      <c r="F23" s="5" t="n">
        <v>13447893.8</v>
      </c>
      <c r="G23" s="6" t="n">
        <v>0.003</v>
      </c>
      <c r="H23" s="1" t="n">
        <v>0.18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49.22</v>
      </c>
      <c r="F24" s="5" t="n">
        <v>20318073.16</v>
      </c>
      <c r="G24" s="6" t="n">
        <v>0.026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52.47</v>
      </c>
      <c r="F25" s="5" t="n">
        <v>19057868.94</v>
      </c>
      <c r="G25" s="6" t="n">
        <v>0.015</v>
      </c>
      <c r="H25" s="1" t="n">
        <v>0.13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20.75</v>
      </c>
      <c r="F26" s="5" t="n">
        <v>48195039.3</v>
      </c>
      <c r="G26" s="6" t="n">
        <v>0.027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56.4</v>
      </c>
      <c r="F27" s="5" t="n">
        <v>17731908.78</v>
      </c>
      <c r="G27" s="6" t="n">
        <v>0.013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22.53</v>
      </c>
      <c r="F28" s="5" t="n">
        <v>44387611.35</v>
      </c>
      <c r="G28" s="6" t="n">
        <v>0.026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36.46</v>
      </c>
      <c r="F29" s="5" t="n">
        <v>27428448.98</v>
      </c>
      <c r="G29" s="6" t="n">
        <v>0.012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23.41</v>
      </c>
      <c r="F30" s="5" t="n">
        <v>42714720.73</v>
      </c>
      <c r="G30" s="6" t="n">
        <v>0.039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60.32</v>
      </c>
      <c r="F31" s="5" t="n">
        <v>16578029.25</v>
      </c>
      <c r="G31" s="6" t="n">
        <v>0.013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24.08</v>
      </c>
      <c r="F32" s="5" t="n">
        <v>41531999.46</v>
      </c>
      <c r="G32" s="6" t="n">
        <v>0.042</v>
      </c>
      <c r="H32" s="1" t="n">
        <v>0</v>
      </c>
      <c r="I32" s="1"/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72.39</v>
      </c>
      <c r="F33" s="5" t="n">
        <v>13813291.25</v>
      </c>
      <c r="G33" s="6" t="n">
        <v>0.019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28.37</v>
      </c>
      <c r="F34" s="5" t="n">
        <v>35244565.1</v>
      </c>
      <c r="G34" s="6" t="n">
        <v>0.028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57.66</v>
      </c>
      <c r="F35" s="5" t="n">
        <v>17342576.22</v>
      </c>
      <c r="G35" s="6" t="n">
        <v>0.007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26.5</v>
      </c>
      <c r="F36" s="5" t="n">
        <v>37741412.35</v>
      </c>
      <c r="G36" s="6" t="n">
        <v>0.032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79.23</v>
      </c>
      <c r="F37" s="5" t="n">
        <v>12621698.78</v>
      </c>
      <c r="G37" s="6" t="n">
        <v>0.004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57.23</v>
      </c>
      <c r="F38" s="5" t="n">
        <v>17473652.61</v>
      </c>
      <c r="G38" s="6" t="n">
        <v>0.051</v>
      </c>
      <c r="H38" s="1" t="n">
        <v>0.03</v>
      </c>
      <c r="I38" s="1" t="s">
        <v>39</v>
      </c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95.19</v>
      </c>
      <c r="F39" s="5" t="n">
        <v>10505853.92</v>
      </c>
      <c r="G39" s="6" t="n">
        <v>0.009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54.9</v>
      </c>
      <c r="F40" s="5" t="n">
        <v>18214497.84</v>
      </c>
      <c r="G40" s="6" t="n">
        <v>0.245</v>
      </c>
      <c r="H40" s="1" t="n">
        <v>0.04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97.49</v>
      </c>
      <c r="F41" s="5" t="n">
        <v>10257813.33</v>
      </c>
      <c r="G41" s="6" t="n">
        <v>0.054</v>
      </c>
      <c r="H41" s="1" t="n">
        <v>0.07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31.92</v>
      </c>
      <c r="F42" s="5" t="n">
        <v>31325911.66</v>
      </c>
      <c r="G42" s="6" t="n">
        <v>0.045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111.24</v>
      </c>
      <c r="F43" s="5" t="n">
        <v>8989706.06</v>
      </c>
      <c r="G43" s="6" t="n">
        <v>0.017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81.36</v>
      </c>
      <c r="F44" s="5" t="n">
        <v>12290833.61</v>
      </c>
      <c r="G44" s="6" t="n">
        <v>0.097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157.65</v>
      </c>
      <c r="F45" s="5" t="n">
        <v>6343042.08</v>
      </c>
      <c r="G45" s="6" t="n">
        <v>0.014</v>
      </c>
      <c r="H45" s="1" t="n">
        <v>0.45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75.06</v>
      </c>
      <c r="F46" s="5" t="n">
        <v>13321944.42</v>
      </c>
      <c r="G46" s="6" t="n">
        <v>0.016</v>
      </c>
      <c r="H46" s="1" t="n">
        <v>0.22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191.79</v>
      </c>
      <c r="F47" s="5" t="n">
        <v>5213966.78</v>
      </c>
      <c r="G47" s="6" t="n">
        <v>0.019</v>
      </c>
      <c r="H47" s="1" t="n">
        <v>0.55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41.83</v>
      </c>
      <c r="F48" s="5" t="n">
        <v>23903870.96</v>
      </c>
      <c r="G48" s="6" t="n">
        <v>0.028</v>
      </c>
      <c r="H48" s="1" t="n">
        <v>0.22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175.96</v>
      </c>
      <c r="F49" s="5" t="n">
        <v>5683000.18</v>
      </c>
      <c r="G49" s="6" t="n">
        <v>0.01</v>
      </c>
      <c r="H49" s="1" t="n">
        <v>0.51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16.58</v>
      </c>
      <c r="F50" s="5" t="n">
        <v>60302691.24</v>
      </c>
      <c r="G50" s="6" t="n">
        <v>0.012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56.95</v>
      </c>
      <c r="F51" s="5" t="n">
        <v>17560256.2</v>
      </c>
      <c r="G51" s="6" t="n">
        <v>0.011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14.07</v>
      </c>
      <c r="F52" s="5" t="n">
        <v>71065461.42</v>
      </c>
      <c r="G52" s="6" t="n">
        <v>0.017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36.74</v>
      </c>
      <c r="F53" s="5" t="n">
        <v>27215042.69</v>
      </c>
      <c r="G53" s="6" t="n">
        <v>0.02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18.82</v>
      </c>
      <c r="F54" s="5" t="n">
        <v>53132702.04</v>
      </c>
      <c r="G54" s="6" t="n">
        <v>0.092</v>
      </c>
      <c r="H54" s="1" t="n">
        <v>0</v>
      </c>
      <c r="I54" s="1" t="s">
        <v>39</v>
      </c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59.07</v>
      </c>
      <c r="F55" s="5" t="n">
        <v>16929747.34</v>
      </c>
      <c r="G55" s="6" t="n">
        <v>0.024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18.01</v>
      </c>
      <c r="F56" s="5" t="n">
        <v>55539736.13</v>
      </c>
      <c r="G56" s="6" t="n">
        <v>0.05</v>
      </c>
      <c r="H56" s="1" t="n">
        <v>0</v>
      </c>
      <c r="I56" s="1"/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79.12</v>
      </c>
      <c r="F57" s="5" t="n">
        <v>12639351.86</v>
      </c>
      <c r="G57" s="6" t="n">
        <v>0.014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18.46</v>
      </c>
      <c r="F58" s="5" t="n">
        <v>54157686.66</v>
      </c>
      <c r="G58" s="6" t="n">
        <v>0.052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52.2</v>
      </c>
      <c r="F59" s="5" t="n">
        <v>19156030.92</v>
      </c>
      <c r="G59" s="6" t="n">
        <v>0.014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23.45</v>
      </c>
      <c r="F60" s="5" t="n">
        <v>42650450.61</v>
      </c>
      <c r="G60" s="6" t="n">
        <v>0.028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79.63</v>
      </c>
      <c r="F61" s="5" t="n">
        <v>12558696.42</v>
      </c>
      <c r="G61" s="6" t="n">
        <v>0.015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19.13</v>
      </c>
      <c r="F62" s="5" t="n">
        <v>52267023.11</v>
      </c>
      <c r="G62" s="6" t="n">
        <v>0.017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117.82</v>
      </c>
      <c r="F63" s="5" t="n">
        <v>8487198.56</v>
      </c>
      <c r="G63" s="6" t="n">
        <v>0.008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30.77</v>
      </c>
      <c r="F64" s="5" t="n">
        <v>32498022.68</v>
      </c>
      <c r="G64" s="6" t="n">
        <v>0.073</v>
      </c>
      <c r="H64" s="1" t="n">
        <v>0.02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92.69</v>
      </c>
      <c r="F65" s="5" t="n">
        <v>10788479.56</v>
      </c>
      <c r="G65" s="6" t="n">
        <v>0.02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27.56</v>
      </c>
      <c r="F66" s="5" t="n">
        <v>36282605.27</v>
      </c>
      <c r="G66" s="6" t="n">
        <v>0.019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119.69</v>
      </c>
      <c r="F67" s="5" t="n">
        <v>8355252.23</v>
      </c>
      <c r="G67" s="6" t="n">
        <v>0.005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24.7</v>
      </c>
      <c r="F68" s="5" t="n">
        <v>40480902.2</v>
      </c>
      <c r="G68" s="6" t="n">
        <v>0.075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198.01</v>
      </c>
      <c r="F69" s="5" t="n">
        <v>5050233.98</v>
      </c>
      <c r="G69" s="6" t="n">
        <v>0.013</v>
      </c>
      <c r="H69" s="1" t="n">
        <v>0.57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39.25</v>
      </c>
      <c r="F70" s="5" t="n">
        <v>25476580.4</v>
      </c>
      <c r="G70" s="6" t="n">
        <v>0.07</v>
      </c>
      <c r="H70" s="1" t="n">
        <v>0.11</v>
      </c>
      <c r="I70" s="1" t="s">
        <v>39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169.12</v>
      </c>
      <c r="F71" s="5" t="n">
        <v>5913104.09</v>
      </c>
      <c r="G71" s="6" t="n">
        <v>0.014</v>
      </c>
      <c r="H71" s="1" t="n">
        <v>0.49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31.21</v>
      </c>
      <c r="F72" s="5" t="n">
        <v>32036349.84</v>
      </c>
      <c r="G72" s="6" t="n">
        <v>0.029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203.32</v>
      </c>
      <c r="F73" s="5" t="n">
        <v>4918383.64</v>
      </c>
      <c r="G73" s="6" t="n">
        <v>0.014</v>
      </c>
      <c r="H73" s="1" t="n">
        <v>0.58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46.63</v>
      </c>
      <c r="F2" s="5" t="n">
        <v>21445870.63</v>
      </c>
      <c r="G2" s="6" t="n">
        <v>0.009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42.06</v>
      </c>
      <c r="F3" s="5" t="n">
        <v>23773861.84</v>
      </c>
      <c r="G3" s="6" t="n">
        <v>0.009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14.84</v>
      </c>
      <c r="F4" s="5" t="n">
        <v>67393026.05</v>
      </c>
      <c r="G4" s="6" t="n">
        <v>0.006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12.94</v>
      </c>
      <c r="F5" s="5" t="n">
        <v>77293142.54</v>
      </c>
      <c r="G5" s="6" t="n">
        <v>0.01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9.43</v>
      </c>
      <c r="F6" s="5" t="n">
        <v>106056806.31</v>
      </c>
      <c r="G6" s="6" t="n">
        <v>0.005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11.71</v>
      </c>
      <c r="F7" s="5" t="n">
        <v>85418362.13</v>
      </c>
      <c r="G7" s="6" t="n">
        <v>0.008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68.81</v>
      </c>
      <c r="F8" s="5" t="n">
        <v>14531875.13</v>
      </c>
      <c r="G8" s="6" t="n">
        <v>0.011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62.08</v>
      </c>
      <c r="F9" s="5" t="n">
        <v>16107149.9</v>
      </c>
      <c r="G9" s="6" t="n">
        <v>0.011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26.23</v>
      </c>
      <c r="F10" s="5" t="n">
        <v>38117166.88</v>
      </c>
      <c r="G10" s="6" t="n">
        <v>0.013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23.82</v>
      </c>
      <c r="F11" s="5" t="n">
        <v>41978660.11</v>
      </c>
      <c r="G11" s="6" t="n">
        <v>0.011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17.82</v>
      </c>
      <c r="F12" s="5" t="n">
        <v>56111410.8</v>
      </c>
      <c r="G12" s="6" t="n">
        <v>0.003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21.04</v>
      </c>
      <c r="F13" s="5" t="n">
        <v>47522894.32</v>
      </c>
      <c r="G13" s="6" t="n">
        <v>0.01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100.74</v>
      </c>
      <c r="F14" s="5" t="n">
        <v>9926215.34</v>
      </c>
      <c r="G14" s="6" t="n">
        <v>0.009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95.61</v>
      </c>
      <c r="F15" s="5" t="n">
        <v>10459494.89</v>
      </c>
      <c r="G15" s="6" t="n">
        <v>0.004</v>
      </c>
      <c r="H15" s="1" t="n">
        <v>0.23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40.44</v>
      </c>
      <c r="F16" s="5" t="n">
        <v>24725435.78</v>
      </c>
      <c r="G16" s="6" t="n">
        <v>0.005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36.8</v>
      </c>
      <c r="F17" s="5" t="n">
        <v>27172146.41</v>
      </c>
      <c r="G17" s="6" t="n">
        <v>0.006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26.55</v>
      </c>
      <c r="F18" s="5" t="n">
        <v>37663304.72</v>
      </c>
      <c r="G18" s="6" t="n">
        <v>0.003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30.17</v>
      </c>
      <c r="F19" s="5" t="n">
        <v>33147084.96</v>
      </c>
      <c r="G19" s="6" t="n">
        <v>0.006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187.19</v>
      </c>
      <c r="F20" s="5" t="n">
        <v>5342087.86</v>
      </c>
      <c r="G20" s="6" t="n">
        <v>0.031</v>
      </c>
      <c r="H20" s="1" t="n">
        <v>0.46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181.95</v>
      </c>
      <c r="F21" s="5" t="n">
        <v>5495905.7</v>
      </c>
      <c r="G21" s="6" t="n">
        <v>0.015</v>
      </c>
      <c r="H21" s="1" t="n">
        <v>0.45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73.8</v>
      </c>
      <c r="F22" s="5" t="n">
        <v>13550858.84</v>
      </c>
      <c r="G22" s="6" t="n">
        <v>0.001</v>
      </c>
      <c r="H22" s="1" t="n">
        <v>0.18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73.64</v>
      </c>
      <c r="F23" s="5" t="n">
        <v>13579291.6</v>
      </c>
      <c r="G23" s="6" t="n">
        <v>0.018</v>
      </c>
      <c r="H23" s="1" t="n">
        <v>0.18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48.7</v>
      </c>
      <c r="F24" s="5" t="n">
        <v>20532997.16</v>
      </c>
      <c r="G24" s="6" t="n">
        <v>0.008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57.09</v>
      </c>
      <c r="F25" s="5" t="n">
        <v>17517391.63</v>
      </c>
      <c r="G25" s="6" t="n">
        <v>0.007</v>
      </c>
      <c r="H25" s="1" t="n">
        <v>0.13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19.89</v>
      </c>
      <c r="F26" s="5" t="n">
        <v>50273089.9</v>
      </c>
      <c r="G26" s="6" t="n">
        <v>0.022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56.38</v>
      </c>
      <c r="F27" s="5" t="n">
        <v>17735286.99</v>
      </c>
      <c r="G27" s="6" t="n">
        <v>0.012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22.08</v>
      </c>
      <c r="F28" s="5" t="n">
        <v>45280182.18</v>
      </c>
      <c r="G28" s="6" t="n">
        <v>0.027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40.47</v>
      </c>
      <c r="F29" s="5" t="n">
        <v>24711617.36</v>
      </c>
      <c r="G29" s="6" t="n">
        <v>0.077</v>
      </c>
      <c r="H29" s="1" t="n">
        <v>0</v>
      </c>
      <c r="I29" s="1" t="s">
        <v>39</v>
      </c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22.85</v>
      </c>
      <c r="F30" s="5" t="n">
        <v>43762086.39</v>
      </c>
      <c r="G30" s="6" t="n">
        <v>0.03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60.87</v>
      </c>
      <c r="F31" s="5" t="n">
        <v>16428290.67</v>
      </c>
      <c r="G31" s="6" t="n">
        <v>0.015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24.8</v>
      </c>
      <c r="F32" s="5" t="n">
        <v>40327364.47</v>
      </c>
      <c r="G32" s="6" t="n">
        <v>0.054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72.94</v>
      </c>
      <c r="F33" s="5" t="n">
        <v>13709003.31</v>
      </c>
      <c r="G33" s="6" t="n">
        <v>0.017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29.22</v>
      </c>
      <c r="F34" s="5" t="n">
        <v>34226457.82</v>
      </c>
      <c r="G34" s="6" t="n">
        <v>0.048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57.67</v>
      </c>
      <c r="F35" s="5" t="n">
        <v>17338850.5</v>
      </c>
      <c r="G35" s="6" t="n">
        <v>0.025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25.92</v>
      </c>
      <c r="F36" s="5" t="n">
        <v>38575548.88</v>
      </c>
      <c r="G36" s="6" t="n">
        <v>0.019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78.66</v>
      </c>
      <c r="F37" s="5" t="n">
        <v>12713666.26</v>
      </c>
      <c r="G37" s="6" t="n">
        <v>0.007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58.14</v>
      </c>
      <c r="F38" s="5" t="n">
        <v>17199081.68</v>
      </c>
      <c r="G38" s="6" t="n">
        <v>0.014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96.39</v>
      </c>
      <c r="F39" s="5" t="n">
        <v>10374505.46</v>
      </c>
      <c r="G39" s="6" t="n">
        <v>0.011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50.42</v>
      </c>
      <c r="F40" s="5" t="n">
        <v>19835357.09</v>
      </c>
      <c r="G40" s="6" t="n">
        <v>0.24</v>
      </c>
      <c r="H40" s="1" t="n">
        <v>0.04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94.14</v>
      </c>
      <c r="F41" s="5" t="n">
        <v>10621995.16</v>
      </c>
      <c r="G41" s="6" t="n">
        <v>0.105</v>
      </c>
      <c r="H41" s="1" t="n">
        <v>0.07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30.98</v>
      </c>
      <c r="F42" s="5" t="n">
        <v>32278369.41</v>
      </c>
      <c r="G42" s="6" t="n">
        <v>0.026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109.05</v>
      </c>
      <c r="F43" s="5" t="n">
        <v>9170282.27</v>
      </c>
      <c r="G43" s="6" t="n">
        <v>0.022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77.6</v>
      </c>
      <c r="F44" s="5" t="n">
        <v>12886994.77</v>
      </c>
      <c r="G44" s="6" t="n">
        <v>0.143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156.36</v>
      </c>
      <c r="F45" s="5" t="n">
        <v>6395476.01</v>
      </c>
      <c r="G45" s="6" t="n">
        <v>0.008</v>
      </c>
      <c r="H45" s="1" t="n">
        <v>0.45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79.69</v>
      </c>
      <c r="F46" s="5" t="n">
        <v>12548065.72</v>
      </c>
      <c r="G46" s="6" t="n">
        <v>0.073</v>
      </c>
      <c r="H46" s="1" t="n">
        <v>0.23</v>
      </c>
      <c r="I46" s="1" t="s">
        <v>39</v>
      </c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195.35</v>
      </c>
      <c r="F47" s="5" t="n">
        <v>5118980.4</v>
      </c>
      <c r="G47" s="6" t="n">
        <v>0.036</v>
      </c>
      <c r="H47" s="1" t="n">
        <v>0.56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43.18</v>
      </c>
      <c r="F48" s="5" t="n">
        <v>23160201.67</v>
      </c>
      <c r="G48" s="6" t="n">
        <v>0.086</v>
      </c>
      <c r="H48" s="1" t="n">
        <v>0.22</v>
      </c>
      <c r="I48" s="1" t="s">
        <v>39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181.49</v>
      </c>
      <c r="F49" s="5" t="n">
        <v>5509944.47</v>
      </c>
      <c r="G49" s="6" t="n">
        <v>0.01</v>
      </c>
      <c r="H49" s="1" t="n">
        <v>0.52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17.61</v>
      </c>
      <c r="F50" s="5" t="n">
        <v>56801320.19</v>
      </c>
      <c r="G50" s="6" t="n">
        <v>0.025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60.82</v>
      </c>
      <c r="F51" s="5" t="n">
        <v>16442535.43</v>
      </c>
      <c r="G51" s="6" t="n">
        <v>0.02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15.33</v>
      </c>
      <c r="F52" s="5" t="n">
        <v>65214622.34</v>
      </c>
      <c r="G52" s="6" t="n">
        <v>0.072</v>
      </c>
      <c r="H52" s="1" t="n">
        <v>0</v>
      </c>
      <c r="I52" s="1" t="s">
        <v>39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38.79</v>
      </c>
      <c r="F53" s="5" t="n">
        <v>25783059.72</v>
      </c>
      <c r="G53" s="6" t="n">
        <v>0.011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19.98</v>
      </c>
      <c r="F54" s="5" t="n">
        <v>50042761.15</v>
      </c>
      <c r="G54" s="6" t="n">
        <v>0.04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63.8</v>
      </c>
      <c r="F55" s="5" t="n">
        <v>15673729.28</v>
      </c>
      <c r="G55" s="6" t="n">
        <v>0.027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18.71</v>
      </c>
      <c r="F56" s="5" t="n">
        <v>53446768.53</v>
      </c>
      <c r="G56" s="6" t="n">
        <v>0.072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82.68</v>
      </c>
      <c r="F57" s="5" t="n">
        <v>12095395.94</v>
      </c>
      <c r="G57" s="6" t="n">
        <v>0.025</v>
      </c>
      <c r="H57" s="1" t="n">
        <v>0.02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16.64</v>
      </c>
      <c r="F58" s="5" t="n">
        <v>60102494.12</v>
      </c>
      <c r="G58" s="6" t="n">
        <v>0.063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53.71</v>
      </c>
      <c r="F59" s="5" t="n">
        <v>18620191.95</v>
      </c>
      <c r="G59" s="6" t="n">
        <v>0.003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22.8</v>
      </c>
      <c r="F60" s="5" t="n">
        <v>43850868.51</v>
      </c>
      <c r="G60" s="6" t="n">
        <v>0.032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78.92</v>
      </c>
      <c r="F61" s="5" t="n">
        <v>12670719.07</v>
      </c>
      <c r="G61" s="6" t="n">
        <v>0.008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19.18</v>
      </c>
      <c r="F62" s="5" t="n">
        <v>52143512.41</v>
      </c>
      <c r="G62" s="6" t="n">
        <v>0.012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123.35</v>
      </c>
      <c r="F63" s="5" t="n">
        <v>8107026.2</v>
      </c>
      <c r="G63" s="6" t="n">
        <v>0.024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35.56</v>
      </c>
      <c r="F64" s="5" t="n">
        <v>28118373.82</v>
      </c>
      <c r="G64" s="6" t="n">
        <v>0.064</v>
      </c>
      <c r="H64" s="1" t="n">
        <v>0.03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94.64</v>
      </c>
      <c r="F65" s="5" t="n">
        <v>10566820.19</v>
      </c>
      <c r="G65" s="6" t="n">
        <v>0.017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26.23</v>
      </c>
      <c r="F66" s="5" t="n">
        <v>38130369.14</v>
      </c>
      <c r="G66" s="6" t="n">
        <v>0.034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118.23</v>
      </c>
      <c r="F67" s="5" t="n">
        <v>8458061</v>
      </c>
      <c r="G67" s="6" t="n">
        <v>0.013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24.95</v>
      </c>
      <c r="F68" s="5" t="n">
        <v>40074883.58</v>
      </c>
      <c r="G68" s="6" t="n">
        <v>0.072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205.72</v>
      </c>
      <c r="F69" s="5" t="n">
        <v>4860963.26</v>
      </c>
      <c r="G69" s="6" t="n">
        <v>0.008</v>
      </c>
      <c r="H69" s="1" t="n">
        <v>0.59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36.3</v>
      </c>
      <c r="F70" s="5" t="n">
        <v>27547526.75</v>
      </c>
      <c r="G70" s="6" t="n">
        <v>0.068</v>
      </c>
      <c r="H70" s="1" t="n">
        <v>0.1</v>
      </c>
      <c r="I70" s="1" t="s">
        <v>39</v>
      </c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175.99</v>
      </c>
      <c r="F71" s="5" t="n">
        <v>5682210.32</v>
      </c>
      <c r="G71" s="6" t="n">
        <v>0.038</v>
      </c>
      <c r="H71" s="1" t="n">
        <v>0.5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30.26</v>
      </c>
      <c r="F72" s="5" t="n">
        <v>33042721.32</v>
      </c>
      <c r="G72" s="6" t="n">
        <v>0.078</v>
      </c>
      <c r="H72" s="1" t="n">
        <v>0.09</v>
      </c>
      <c r="I72" s="1" t="s">
        <v>39</v>
      </c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202.63</v>
      </c>
      <c r="F73" s="5" t="n">
        <v>4935175.93</v>
      </c>
      <c r="G73" s="6" t="n">
        <v>0.012</v>
      </c>
      <c r="H73" s="1" t="n">
        <v>0.59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47.71</v>
      </c>
      <c r="F2" s="5" t="n">
        <v>20959247.5</v>
      </c>
      <c r="G2" s="6" t="n">
        <v>0.006</v>
      </c>
      <c r="H2" s="1" t="n">
        <v>0.12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39.52</v>
      </c>
      <c r="F3" s="5" t="n">
        <v>25301779.05</v>
      </c>
      <c r="G3" s="6" t="n">
        <v>0.007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15.04</v>
      </c>
      <c r="F4" s="5" t="n">
        <v>66470612.6</v>
      </c>
      <c r="G4" s="6" t="n">
        <v>0.007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12.13</v>
      </c>
      <c r="F5" s="5" t="n">
        <v>82466389.07</v>
      </c>
      <c r="G5" s="6" t="n">
        <v>0.007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9.63</v>
      </c>
      <c r="F6" s="5" t="n">
        <v>103886950.25</v>
      </c>
      <c r="G6" s="6" t="n">
        <v>0.009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11.63</v>
      </c>
      <c r="F7" s="5" t="n">
        <v>85953240.8</v>
      </c>
      <c r="G7" s="6" t="n">
        <v>0.005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69.22</v>
      </c>
      <c r="F8" s="5" t="n">
        <v>14446353.03</v>
      </c>
      <c r="G8" s="6" t="n">
        <v>0.003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61.5</v>
      </c>
      <c r="F9" s="5" t="n">
        <v>16258922.38</v>
      </c>
      <c r="G9" s="6" t="n">
        <v>0.004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26.58</v>
      </c>
      <c r="F10" s="5" t="n">
        <v>37624739.06</v>
      </c>
      <c r="G10" s="6" t="n">
        <v>0.005</v>
      </c>
      <c r="H10" s="1" t="n">
        <v>0.07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24.18</v>
      </c>
      <c r="F11" s="5" t="n">
        <v>41348177.9</v>
      </c>
      <c r="G11" s="6" t="n">
        <v>0.013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17.98</v>
      </c>
      <c r="F12" s="5" t="n">
        <v>55630181.69</v>
      </c>
      <c r="G12" s="6" t="n">
        <v>0.009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21.2</v>
      </c>
      <c r="F13" s="5" t="n">
        <v>47176358.62</v>
      </c>
      <c r="G13" s="6" t="n">
        <v>0.009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103.22</v>
      </c>
      <c r="F14" s="5" t="n">
        <v>9688037.05</v>
      </c>
      <c r="G14" s="6" t="n">
        <v>0.007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97.44</v>
      </c>
      <c r="F15" s="5" t="n">
        <v>10262504.57</v>
      </c>
      <c r="G15" s="6" t="n">
        <v>0.006</v>
      </c>
      <c r="H15" s="1" t="n">
        <v>0.24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40.84</v>
      </c>
      <c r="F16" s="5" t="n">
        <v>24484810.95</v>
      </c>
      <c r="G16" s="6" t="n">
        <v>0.003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36.27</v>
      </c>
      <c r="F17" s="5" t="n">
        <v>27574392.29</v>
      </c>
      <c r="G17" s="6" t="n">
        <v>0.016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26.94</v>
      </c>
      <c r="F18" s="5" t="n">
        <v>37121816.46</v>
      </c>
      <c r="G18" s="6" t="n">
        <v>0.017</v>
      </c>
      <c r="H18" s="1" t="n">
        <v>0.07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29.93</v>
      </c>
      <c r="F19" s="5" t="n">
        <v>33409677.65</v>
      </c>
      <c r="G19" s="6" t="n">
        <v>0.009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189.14</v>
      </c>
      <c r="F20" s="5" t="n">
        <v>5287198.72</v>
      </c>
      <c r="G20" s="6" t="n">
        <v>0.009</v>
      </c>
      <c r="H20" s="1" t="n">
        <v>0.46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212.16</v>
      </c>
      <c r="F21" s="5" t="n">
        <v>4713512.47</v>
      </c>
      <c r="G21" s="6" t="n">
        <v>0.141</v>
      </c>
      <c r="H21" s="1" t="n">
        <v>0.53</v>
      </c>
      <c r="I21" s="1" t="s">
        <v>39</v>
      </c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80.09</v>
      </c>
      <c r="F22" s="5" t="n">
        <v>12486317.04</v>
      </c>
      <c r="G22" s="6" t="n">
        <v>0.009</v>
      </c>
      <c r="H22" s="1" t="n">
        <v>0.2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74.36</v>
      </c>
      <c r="F23" s="5" t="n">
        <v>13448689.63</v>
      </c>
      <c r="G23" s="6" t="n">
        <v>0.01</v>
      </c>
      <c r="H23" s="1" t="n">
        <v>0.18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49.74</v>
      </c>
      <c r="F24" s="5" t="n">
        <v>20104022.48</v>
      </c>
      <c r="G24" s="6" t="n">
        <v>0.01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53.32</v>
      </c>
      <c r="F25" s="5" t="n">
        <v>18753466.81</v>
      </c>
      <c r="G25" s="6" t="n">
        <v>0.033</v>
      </c>
      <c r="H25" s="1" t="n">
        <v>0.13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20.05</v>
      </c>
      <c r="F26" s="5" t="n">
        <v>49866082.3</v>
      </c>
      <c r="G26" s="6" t="n">
        <v>0.025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56.63</v>
      </c>
      <c r="F27" s="5" t="n">
        <v>17658445.32</v>
      </c>
      <c r="G27" s="6" t="n">
        <v>0.013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22.55</v>
      </c>
      <c r="F28" s="5" t="n">
        <v>44353004.87</v>
      </c>
      <c r="G28" s="6" t="n">
        <v>0.021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38.24</v>
      </c>
      <c r="F29" s="5" t="n">
        <v>26153806.86</v>
      </c>
      <c r="G29" s="6" t="n">
        <v>0.043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24.53</v>
      </c>
      <c r="F30" s="5" t="n">
        <v>40767982.8</v>
      </c>
      <c r="G30" s="6" t="n">
        <v>0.021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59.82</v>
      </c>
      <c r="F31" s="5" t="n">
        <v>16715706.48</v>
      </c>
      <c r="G31" s="6" t="n">
        <v>0.021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23.86</v>
      </c>
      <c r="F32" s="5" t="n">
        <v>41905707.04</v>
      </c>
      <c r="G32" s="6" t="n">
        <v>0.102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72.88</v>
      </c>
      <c r="F33" s="5" t="n">
        <v>13721161.61</v>
      </c>
      <c r="G33" s="6" t="n">
        <v>0.01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61.03</v>
      </c>
      <c r="F34" s="5" t="n">
        <v>16384917.56</v>
      </c>
      <c r="G34" s="6" t="n">
        <v>0.127</v>
      </c>
      <c r="H34" s="1" t="n">
        <v>0.01</v>
      </c>
      <c r="I34" s="1" t="s">
        <v>39</v>
      </c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86.63</v>
      </c>
      <c r="F35" s="5" t="n">
        <v>11543336.48</v>
      </c>
      <c r="G35" s="6" t="n">
        <v>0.21</v>
      </c>
      <c r="H35" s="1" t="n">
        <v>0.02</v>
      </c>
      <c r="I35" s="1" t="s">
        <v>39</v>
      </c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27.38</v>
      </c>
      <c r="F36" s="5" t="n">
        <v>36520479.24</v>
      </c>
      <c r="G36" s="6" t="n">
        <v>0.059</v>
      </c>
      <c r="H36" s="1" t="n">
        <v>0</v>
      </c>
      <c r="I36" s="1" t="s">
        <v>39</v>
      </c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88.27</v>
      </c>
      <c r="F37" s="5" t="n">
        <v>11329470.18</v>
      </c>
      <c r="G37" s="6" t="n">
        <v>0.022</v>
      </c>
      <c r="H37" s="1" t="n">
        <v>0.02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60.17</v>
      </c>
      <c r="F38" s="5" t="n">
        <v>16620358.11</v>
      </c>
      <c r="G38" s="6" t="n">
        <v>0.022</v>
      </c>
      <c r="H38" s="1" t="n">
        <v>0.04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98.51</v>
      </c>
      <c r="F39" s="5" t="n">
        <v>10151647.36</v>
      </c>
      <c r="G39" s="6" t="n">
        <v>0.01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69.64</v>
      </c>
      <c r="F40" s="5" t="n">
        <v>14358946.94</v>
      </c>
      <c r="G40" s="6" t="n">
        <v>0.126</v>
      </c>
      <c r="H40" s="1" t="n">
        <v>0.04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105.95</v>
      </c>
      <c r="F41" s="5" t="n">
        <v>9438686.49</v>
      </c>
      <c r="G41" s="6" t="n">
        <v>0.057</v>
      </c>
      <c r="H41" s="1" t="n">
        <v>0.08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31.82</v>
      </c>
      <c r="F42" s="5" t="n">
        <v>31423860.1</v>
      </c>
      <c r="G42" s="6" t="n">
        <v>0.045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110.63</v>
      </c>
      <c r="F43" s="5" t="n">
        <v>9038760.08</v>
      </c>
      <c r="G43" s="6" t="n">
        <v>0.014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77.07</v>
      </c>
      <c r="F44" s="5" t="n">
        <v>12975093.44</v>
      </c>
      <c r="G44" s="6" t="n">
        <v>0.173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157.02</v>
      </c>
      <c r="F45" s="5" t="n">
        <v>6368530.5</v>
      </c>
      <c r="G45" s="6" t="n">
        <v>0.012</v>
      </c>
      <c r="H45" s="1" t="n">
        <v>0.45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89.2</v>
      </c>
      <c r="F46" s="5" t="n">
        <v>11210150.99</v>
      </c>
      <c r="G46" s="6" t="n">
        <v>0.017</v>
      </c>
      <c r="H46" s="1" t="n">
        <v>0.25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200.1</v>
      </c>
      <c r="F47" s="5" t="n">
        <v>4997403.16</v>
      </c>
      <c r="G47" s="6" t="n">
        <v>0.039</v>
      </c>
      <c r="H47" s="1" t="n">
        <v>0.57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42.34</v>
      </c>
      <c r="F48" s="5" t="n">
        <v>23616874.45</v>
      </c>
      <c r="G48" s="6" t="n">
        <v>0.07</v>
      </c>
      <c r="H48" s="1" t="n">
        <v>0.22</v>
      </c>
      <c r="I48" s="1" t="s">
        <v>39</v>
      </c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179.59</v>
      </c>
      <c r="F49" s="5" t="n">
        <v>5568386.61</v>
      </c>
      <c r="G49" s="6" t="n">
        <v>0.013</v>
      </c>
      <c r="H49" s="1" t="n">
        <v>0.52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17.38</v>
      </c>
      <c r="F50" s="5" t="n">
        <v>57524050.28</v>
      </c>
      <c r="G50" s="6" t="n">
        <v>0.024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58.72</v>
      </c>
      <c r="F51" s="5" t="n">
        <v>17028565.25</v>
      </c>
      <c r="G51" s="6" t="n">
        <v>0.02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15.38</v>
      </c>
      <c r="F52" s="5" t="n">
        <v>65023097.8</v>
      </c>
      <c r="G52" s="6" t="n">
        <v>0.068</v>
      </c>
      <c r="H52" s="1" t="n">
        <v>0</v>
      </c>
      <c r="I52" s="1" t="s">
        <v>39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39.26</v>
      </c>
      <c r="F53" s="5" t="n">
        <v>25470736.01</v>
      </c>
      <c r="G53" s="6" t="n">
        <v>0.03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19.25</v>
      </c>
      <c r="F54" s="5" t="n">
        <v>51950028.54</v>
      </c>
      <c r="G54" s="6" t="n">
        <v>0.025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62.85</v>
      </c>
      <c r="F55" s="5" t="n">
        <v>15911554.13</v>
      </c>
      <c r="G55" s="6" t="n">
        <v>0.017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18.4</v>
      </c>
      <c r="F56" s="5" t="n">
        <v>54341264.73</v>
      </c>
      <c r="G56" s="6" t="n">
        <v>0.022</v>
      </c>
      <c r="H56" s="1" t="n">
        <v>0</v>
      </c>
      <c r="I56" s="1"/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81.34</v>
      </c>
      <c r="F57" s="5" t="n">
        <v>12293830.35</v>
      </c>
      <c r="G57" s="6" t="n">
        <v>0.005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16.74</v>
      </c>
      <c r="F58" s="5" t="n">
        <v>59745904.87</v>
      </c>
      <c r="G58" s="6" t="n">
        <v>0.02</v>
      </c>
      <c r="H58" s="1" t="n">
        <v>0</v>
      </c>
      <c r="I58" s="1"/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54.9</v>
      </c>
      <c r="F59" s="5" t="n">
        <v>18215231.91</v>
      </c>
      <c r="G59" s="6" t="n">
        <v>0.022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23.02</v>
      </c>
      <c r="F60" s="5" t="n">
        <v>43437109.78</v>
      </c>
      <c r="G60" s="6" t="n">
        <v>0.056</v>
      </c>
      <c r="H60" s="1" t="n">
        <v>0</v>
      </c>
      <c r="I60" s="1" t="s">
        <v>39</v>
      </c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80.67</v>
      </c>
      <c r="F61" s="5" t="n">
        <v>12396869.31</v>
      </c>
      <c r="G61" s="6" t="n">
        <v>0.005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21.17</v>
      </c>
      <c r="F62" s="5" t="n">
        <v>47245343.3</v>
      </c>
      <c r="G62" s="6" t="n">
        <v>0.015</v>
      </c>
      <c r="H62" s="1" t="n">
        <v>0.02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124.83</v>
      </c>
      <c r="F63" s="5" t="n">
        <v>8010925.06</v>
      </c>
      <c r="G63" s="6" t="n">
        <v>0.019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30.44</v>
      </c>
      <c r="F64" s="5" t="n">
        <v>32847243.98</v>
      </c>
      <c r="G64" s="6" t="n">
        <v>0.077</v>
      </c>
      <c r="H64" s="1" t="n">
        <v>0.02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94.74</v>
      </c>
      <c r="F65" s="5" t="n">
        <v>10555235.4</v>
      </c>
      <c r="G65" s="6" t="n">
        <v>0.009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27.91</v>
      </c>
      <c r="F66" s="5" t="n">
        <v>35824256.92</v>
      </c>
      <c r="G66" s="6" t="n">
        <v>0.02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126.01</v>
      </c>
      <c r="F67" s="5" t="n">
        <v>7935946.68</v>
      </c>
      <c r="G67" s="6" t="n">
        <v>0.019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25.52</v>
      </c>
      <c r="F68" s="5" t="n">
        <v>39189257.88</v>
      </c>
      <c r="G68" s="6" t="n">
        <v>0.092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206.73</v>
      </c>
      <c r="F69" s="5" t="n">
        <v>4837229.72</v>
      </c>
      <c r="G69" s="6" t="n">
        <v>0.011</v>
      </c>
      <c r="H69" s="1" t="n">
        <v>0.6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41.41</v>
      </c>
      <c r="F70" s="5" t="n">
        <v>24149281.44</v>
      </c>
      <c r="G70" s="6" t="n">
        <v>0.048</v>
      </c>
      <c r="H70" s="1" t="n">
        <v>0.12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172.69</v>
      </c>
      <c r="F71" s="5" t="n">
        <v>5790650.27</v>
      </c>
      <c r="G71" s="6" t="n">
        <v>0.024</v>
      </c>
      <c r="H71" s="1" t="n">
        <v>0.5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30.09</v>
      </c>
      <c r="F72" s="5" t="n">
        <v>33237736.47</v>
      </c>
      <c r="G72" s="6" t="n">
        <v>0.042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207.9</v>
      </c>
      <c r="F73" s="5" t="n">
        <v>4810070.7</v>
      </c>
      <c r="G73" s="6" t="n">
        <v>0.023</v>
      </c>
      <c r="H73" s="1" t="n">
        <v>0.6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46.3</v>
      </c>
      <c r="F2" s="5" t="n">
        <v>21597370.15</v>
      </c>
      <c r="G2" s="6" t="n">
        <v>0.011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41.09</v>
      </c>
      <c r="F3" s="5" t="n">
        <v>24336273.83</v>
      </c>
      <c r="G3" s="6" t="n">
        <v>0.006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13.57</v>
      </c>
      <c r="F4" s="5" t="n">
        <v>73686044.62</v>
      </c>
      <c r="G4" s="6" t="n">
        <v>0.005</v>
      </c>
      <c r="H4" s="1" t="n">
        <v>0.03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12.61</v>
      </c>
      <c r="F5" s="5" t="n">
        <v>79316816.42</v>
      </c>
      <c r="G5" s="6" t="n">
        <v>0.004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9.4</v>
      </c>
      <c r="F6" s="5" t="n">
        <v>106344996.63</v>
      </c>
      <c r="G6" s="6" t="n">
        <v>0.009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11.94</v>
      </c>
      <c r="F7" s="5" t="n">
        <v>83781273.5</v>
      </c>
      <c r="G7" s="6" t="n">
        <v>0.011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68.69</v>
      </c>
      <c r="F8" s="5" t="n">
        <v>14558447.42</v>
      </c>
      <c r="G8" s="6" t="n">
        <v>0.007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61.04</v>
      </c>
      <c r="F9" s="5" t="n">
        <v>16382237.55</v>
      </c>
      <c r="G9" s="6" t="n">
        <v>0.003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26.75</v>
      </c>
      <c r="F10" s="5" t="n">
        <v>37386120.35</v>
      </c>
      <c r="G10" s="6" t="n">
        <v>0.004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24.05</v>
      </c>
      <c r="F11" s="5" t="n">
        <v>41586202.04</v>
      </c>
      <c r="G11" s="6" t="n">
        <v>0.007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17.76</v>
      </c>
      <c r="F12" s="5" t="n">
        <v>56305102.2</v>
      </c>
      <c r="G12" s="6" t="n">
        <v>0.006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20.91</v>
      </c>
      <c r="F13" s="5" t="n">
        <v>47817333.29</v>
      </c>
      <c r="G13" s="6" t="n">
        <v>0.025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102.05</v>
      </c>
      <c r="F14" s="5" t="n">
        <v>9799426.97</v>
      </c>
      <c r="G14" s="6" t="n">
        <v>0.006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95.8</v>
      </c>
      <c r="F15" s="5" t="n">
        <v>10438371.57</v>
      </c>
      <c r="G15" s="6" t="n">
        <v>0.005</v>
      </c>
      <c r="H15" s="1" t="n">
        <v>0.23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77.69</v>
      </c>
      <c r="F16" s="5" t="n">
        <v>12871097.95</v>
      </c>
      <c r="G16" s="6" t="n">
        <v>0.001</v>
      </c>
      <c r="H16" s="1" t="n">
        <v>0.19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36.27</v>
      </c>
      <c r="F17" s="5" t="n">
        <v>27573765.14</v>
      </c>
      <c r="G17" s="6" t="n">
        <v>0.008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26.04</v>
      </c>
      <c r="F18" s="5" t="n">
        <v>38399914.49</v>
      </c>
      <c r="G18" s="6" t="n">
        <v>0.009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28.87</v>
      </c>
      <c r="F19" s="5" t="n">
        <v>34633961.82</v>
      </c>
      <c r="G19" s="6" t="n">
        <v>0.002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185.32</v>
      </c>
      <c r="F20" s="5" t="n">
        <v>5396044.16</v>
      </c>
      <c r="G20" s="6" t="n">
        <v>0.013</v>
      </c>
      <c r="H20" s="1" t="n">
        <v>0.45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177.13</v>
      </c>
      <c r="F21" s="5" t="n">
        <v>5645450.05</v>
      </c>
      <c r="G21" s="6" t="n">
        <v>0.011</v>
      </c>
      <c r="H21" s="1" t="n">
        <v>0.43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72.46</v>
      </c>
      <c r="F22" s="5" t="n">
        <v>13800623.78</v>
      </c>
      <c r="G22" s="6" t="n">
        <v>0.016</v>
      </c>
      <c r="H22" s="1" t="n">
        <v>0.18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71.22</v>
      </c>
      <c r="F23" s="5" t="n">
        <v>14041975.4</v>
      </c>
      <c r="G23" s="6" t="n">
        <v>0.006</v>
      </c>
      <c r="H23" s="1" t="n">
        <v>0.17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48.62</v>
      </c>
      <c r="F24" s="5" t="n">
        <v>20566504.08</v>
      </c>
      <c r="G24" s="6" t="n">
        <v>0.003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49.94</v>
      </c>
      <c r="F25" s="5" t="n">
        <v>20024368.83</v>
      </c>
      <c r="G25" s="6" t="n">
        <v>0.002</v>
      </c>
      <c r="H25" s="1" t="n">
        <v>0.12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20.18</v>
      </c>
      <c r="F26" s="5" t="n">
        <v>49549985.48</v>
      </c>
      <c r="G26" s="6" t="n">
        <v>0.048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54.57</v>
      </c>
      <c r="F27" s="5" t="n">
        <v>18326703.92</v>
      </c>
      <c r="G27" s="6" t="n">
        <v>0.016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21.75</v>
      </c>
      <c r="F28" s="5" t="n">
        <v>45969787.43</v>
      </c>
      <c r="G28" s="6" t="n">
        <v>0.027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36.26</v>
      </c>
      <c r="F29" s="5" t="n">
        <v>27575992.19</v>
      </c>
      <c r="G29" s="6" t="n">
        <v>0.006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24.12</v>
      </c>
      <c r="F30" s="5" t="n">
        <v>41463784.99</v>
      </c>
      <c r="G30" s="6" t="n">
        <v>0.021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59.48</v>
      </c>
      <c r="F31" s="5" t="n">
        <v>16812379.43</v>
      </c>
      <c r="G31" s="6" t="n">
        <v>0.009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23.27</v>
      </c>
      <c r="F32" s="5" t="n">
        <v>42978146.31</v>
      </c>
      <c r="G32" s="6" t="n">
        <v>0.076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69.93</v>
      </c>
      <c r="F33" s="5" t="n">
        <v>14300053.24</v>
      </c>
      <c r="G33" s="6" t="n">
        <v>0.017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28.84</v>
      </c>
      <c r="F34" s="5" t="n">
        <v>34675939.55</v>
      </c>
      <c r="G34" s="6" t="n">
        <v>0.045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56.59</v>
      </c>
      <c r="F35" s="5" t="n">
        <v>17669986.26</v>
      </c>
      <c r="G35" s="6" t="n">
        <v>0.007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25.91</v>
      </c>
      <c r="F36" s="5" t="n">
        <v>38599632.47</v>
      </c>
      <c r="G36" s="6" t="n">
        <v>0.044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75.96</v>
      </c>
      <c r="F37" s="5" t="n">
        <v>13164460.14</v>
      </c>
      <c r="G37" s="6" t="n">
        <v>0.015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56.17</v>
      </c>
      <c r="F38" s="5" t="n">
        <v>17803127.34</v>
      </c>
      <c r="G38" s="6" t="n">
        <v>0.104</v>
      </c>
      <c r="H38" s="1" t="n">
        <v>0.03</v>
      </c>
      <c r="I38" s="1" t="s">
        <v>39</v>
      </c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92.32</v>
      </c>
      <c r="F39" s="5" t="n">
        <v>10832307.17</v>
      </c>
      <c r="G39" s="6" t="n">
        <v>0.017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80.09</v>
      </c>
      <c r="F40" s="5" t="n">
        <v>12486153.7</v>
      </c>
      <c r="G40" s="6" t="n">
        <v>0.083</v>
      </c>
      <c r="H40" s="1" t="n">
        <v>0.05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95.26</v>
      </c>
      <c r="F41" s="5" t="n">
        <v>10497419.69</v>
      </c>
      <c r="G41" s="6" t="n">
        <v>0.073</v>
      </c>
      <c r="H41" s="1" t="n">
        <v>0.07</v>
      </c>
      <c r="I41" s="1" t="s">
        <v>39</v>
      </c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31.52</v>
      </c>
      <c r="F42" s="5" t="n">
        <v>31726083.69</v>
      </c>
      <c r="G42" s="6" t="n">
        <v>0.032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106.48</v>
      </c>
      <c r="F43" s="5" t="n">
        <v>9391816.27</v>
      </c>
      <c r="G43" s="6" t="n">
        <v>0.013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73.86</v>
      </c>
      <c r="F44" s="5" t="n">
        <v>13538639.9</v>
      </c>
      <c r="G44" s="6" t="n">
        <v>0.137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147.42</v>
      </c>
      <c r="F45" s="5" t="n">
        <v>6783366.18</v>
      </c>
      <c r="G45" s="6" t="n">
        <v>0.004</v>
      </c>
      <c r="H45" s="1" t="n">
        <v>0.43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75.49</v>
      </c>
      <c r="F46" s="5" t="n">
        <v>13247567.92</v>
      </c>
      <c r="G46" s="6" t="n">
        <v>0.019</v>
      </c>
      <c r="H46" s="1" t="n">
        <v>0.21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189.97</v>
      </c>
      <c r="F47" s="5" t="n">
        <v>5264052.02</v>
      </c>
      <c r="G47" s="6" t="n">
        <v>0.016</v>
      </c>
      <c r="H47" s="1" t="n">
        <v>0.54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41.28</v>
      </c>
      <c r="F48" s="5" t="n">
        <v>24225731.5</v>
      </c>
      <c r="G48" s="6" t="n">
        <v>0.044</v>
      </c>
      <c r="H48" s="1" t="n">
        <v>0.21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175.02</v>
      </c>
      <c r="F49" s="5" t="n">
        <v>5713740.06</v>
      </c>
      <c r="G49" s="6" t="n">
        <v>0.014</v>
      </c>
      <c r="H49" s="1" t="n">
        <v>0.51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17.5</v>
      </c>
      <c r="F50" s="5" t="n">
        <v>57158007.84</v>
      </c>
      <c r="G50" s="6" t="n">
        <v>0.016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58.46</v>
      </c>
      <c r="F51" s="5" t="n">
        <v>17104438.97</v>
      </c>
      <c r="G51" s="6" t="n">
        <v>0.022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14.74</v>
      </c>
      <c r="F52" s="5" t="n">
        <v>67841526.43</v>
      </c>
      <c r="G52" s="6" t="n">
        <v>0.069</v>
      </c>
      <c r="H52" s="1" t="n">
        <v>0</v>
      </c>
      <c r="I52" s="1" t="s">
        <v>39</v>
      </c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38.29</v>
      </c>
      <c r="F53" s="5" t="n">
        <v>26115287.26</v>
      </c>
      <c r="G53" s="6" t="n">
        <v>0.029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19.4</v>
      </c>
      <c r="F54" s="5" t="n">
        <v>51559628.41</v>
      </c>
      <c r="G54" s="6" t="n">
        <v>0.013</v>
      </c>
      <c r="H54" s="1" t="n">
        <v>0</v>
      </c>
      <c r="I54" s="1"/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61.66</v>
      </c>
      <c r="F55" s="5" t="n">
        <v>16217864.2</v>
      </c>
      <c r="G55" s="6" t="n">
        <v>0.037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17.92</v>
      </c>
      <c r="F56" s="5" t="n">
        <v>55793932.95</v>
      </c>
      <c r="G56" s="6" t="n">
        <v>0.064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80.82</v>
      </c>
      <c r="F57" s="5" t="n">
        <v>12372958.92</v>
      </c>
      <c r="G57" s="6" t="n">
        <v>0.007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15.5</v>
      </c>
      <c r="F58" s="5" t="n">
        <v>64501651.52</v>
      </c>
      <c r="G58" s="6" t="n">
        <v>0.058</v>
      </c>
      <c r="H58" s="1" t="n">
        <v>0</v>
      </c>
      <c r="I58" s="1" t="s">
        <v>39</v>
      </c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54.5</v>
      </c>
      <c r="F59" s="5" t="n">
        <v>18347658.11</v>
      </c>
      <c r="G59" s="6" t="n">
        <v>0.008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24.27</v>
      </c>
      <c r="F60" s="5" t="n">
        <v>41194706.84</v>
      </c>
      <c r="G60" s="6" t="n">
        <v>0.032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79.69</v>
      </c>
      <c r="F61" s="5" t="n">
        <v>12547895.14</v>
      </c>
      <c r="G61" s="6" t="n">
        <v>0.007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19.69</v>
      </c>
      <c r="F62" s="5" t="n">
        <v>50775036.74</v>
      </c>
      <c r="G62" s="6" t="n">
        <v>0.038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125.09</v>
      </c>
      <c r="F63" s="5" t="n">
        <v>7994071.78</v>
      </c>
      <c r="G63" s="6" t="n">
        <v>0.008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32.3</v>
      </c>
      <c r="F64" s="5" t="n">
        <v>30956561.34</v>
      </c>
      <c r="G64" s="6" t="n">
        <v>0.063</v>
      </c>
      <c r="H64" s="1" t="n">
        <v>0.02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94.46</v>
      </c>
      <c r="F65" s="5" t="n">
        <v>10586873.96</v>
      </c>
      <c r="G65" s="6" t="n">
        <v>0.012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27.36</v>
      </c>
      <c r="F66" s="5" t="n">
        <v>36544631.89</v>
      </c>
      <c r="G66" s="6" t="n">
        <v>0.007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119.79</v>
      </c>
      <c r="F67" s="5" t="n">
        <v>8348005.44</v>
      </c>
      <c r="G67" s="6" t="n">
        <v>0.009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25.43</v>
      </c>
      <c r="F68" s="5" t="n">
        <v>39316408.27</v>
      </c>
      <c r="G68" s="6" t="n">
        <v>0.071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198.93</v>
      </c>
      <c r="F69" s="5" t="n">
        <v>5027006.76</v>
      </c>
      <c r="G69" s="6" t="n">
        <v>0.007</v>
      </c>
      <c r="H69" s="1" t="n">
        <v>0.58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37.93</v>
      </c>
      <c r="F70" s="5" t="n">
        <v>26364116.55</v>
      </c>
      <c r="G70" s="6" t="n">
        <v>0.032</v>
      </c>
      <c r="H70" s="1" t="n">
        <v>0.11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180.7</v>
      </c>
      <c r="F71" s="5" t="n">
        <v>5533995.5</v>
      </c>
      <c r="G71" s="6" t="n">
        <v>0.012</v>
      </c>
      <c r="H71" s="1" t="n">
        <v>0.52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32.88</v>
      </c>
      <c r="F72" s="5" t="n">
        <v>30414986.4</v>
      </c>
      <c r="G72" s="6" t="n">
        <v>0.021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207.48</v>
      </c>
      <c r="F73" s="5" t="n">
        <v>4819753.55</v>
      </c>
      <c r="G73" s="6" t="n">
        <v>0.017</v>
      </c>
      <c r="H73" s="1" t="n">
        <v>0.61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n">
        <v>4096</v>
      </c>
      <c r="E2" s="3" t="n">
        <v>46.78</v>
      </c>
      <c r="F2" s="5" t="n">
        <v>21375212.5</v>
      </c>
      <c r="G2" s="6" t="n">
        <v>0.005</v>
      </c>
      <c r="H2" s="1" t="n">
        <v>0.11</v>
      </c>
      <c r="I2" s="1"/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17</v>
      </c>
      <c r="D3" s="1" t="n">
        <v>4096</v>
      </c>
      <c r="E3" s="3" t="n">
        <v>41.05</v>
      </c>
      <c r="F3" s="5" t="n">
        <v>24361691.61</v>
      </c>
      <c r="G3" s="6" t="n">
        <v>0.003</v>
      </c>
      <c r="H3" s="1" t="n">
        <v>0.1</v>
      </c>
      <c r="I3" s="1"/>
    </row>
    <row r="4" customFormat="false" ht="15" hidden="false" customHeight="false" outlineLevel="0" collapsed="false">
      <c r="A4" s="1" t="s">
        <v>14</v>
      </c>
      <c r="B4" s="1" t="s">
        <v>18</v>
      </c>
      <c r="C4" s="1" t="s">
        <v>16</v>
      </c>
      <c r="D4" s="1" t="n">
        <v>4096</v>
      </c>
      <c r="E4" s="3" t="n">
        <v>14.82</v>
      </c>
      <c r="F4" s="5" t="n">
        <v>67474867.33</v>
      </c>
      <c r="G4" s="6" t="n">
        <v>0.007</v>
      </c>
      <c r="H4" s="1" t="n">
        <v>0.04</v>
      </c>
      <c r="I4" s="1"/>
    </row>
    <row r="5" customFormat="false" ht="15" hidden="false" customHeight="false" outlineLevel="0" collapsed="false">
      <c r="A5" s="1" t="s">
        <v>14</v>
      </c>
      <c r="B5" s="1" t="s">
        <v>18</v>
      </c>
      <c r="C5" s="1" t="s">
        <v>17</v>
      </c>
      <c r="D5" s="1" t="n">
        <v>4096</v>
      </c>
      <c r="E5" s="3" t="n">
        <v>12.44</v>
      </c>
      <c r="F5" s="5" t="n">
        <v>80411286.89</v>
      </c>
      <c r="G5" s="6" t="n">
        <v>0.011</v>
      </c>
      <c r="H5" s="1" t="n">
        <v>0.03</v>
      </c>
      <c r="I5" s="1"/>
    </row>
    <row r="6" customFormat="false" ht="15" hidden="false" customHeight="false" outlineLevel="0" collapsed="false">
      <c r="A6" s="1" t="s">
        <v>14</v>
      </c>
      <c r="B6" s="1" t="s">
        <v>19</v>
      </c>
      <c r="C6" s="1" t="s">
        <v>16</v>
      </c>
      <c r="D6" s="1" t="n">
        <v>4096</v>
      </c>
      <c r="E6" s="3" t="n">
        <v>9.53</v>
      </c>
      <c r="F6" s="5" t="n">
        <v>104880309.48</v>
      </c>
      <c r="G6" s="6" t="n">
        <v>0.008</v>
      </c>
      <c r="H6" s="1" t="n">
        <v>0.02</v>
      </c>
      <c r="I6" s="1"/>
    </row>
    <row r="7" customFormat="false" ht="15" hidden="false" customHeight="false" outlineLevel="0" collapsed="false">
      <c r="A7" s="1" t="s">
        <v>14</v>
      </c>
      <c r="B7" s="1" t="s">
        <v>19</v>
      </c>
      <c r="C7" s="1" t="s">
        <v>17</v>
      </c>
      <c r="D7" s="1" t="n">
        <v>4096</v>
      </c>
      <c r="E7" s="3" t="n">
        <v>11.37</v>
      </c>
      <c r="F7" s="5" t="n">
        <v>87924188.14</v>
      </c>
      <c r="G7" s="6" t="n">
        <v>0.008</v>
      </c>
      <c r="H7" s="1" t="n">
        <v>0.03</v>
      </c>
      <c r="I7" s="1"/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16</v>
      </c>
      <c r="D8" s="1" t="n">
        <v>16384</v>
      </c>
      <c r="E8" s="3" t="n">
        <v>68.05</v>
      </c>
      <c r="F8" s="5" t="n">
        <v>14695442.38</v>
      </c>
      <c r="G8" s="6" t="n">
        <v>0.012</v>
      </c>
      <c r="H8" s="1" t="n">
        <v>0.15</v>
      </c>
      <c r="I8" s="1"/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17</v>
      </c>
      <c r="D9" s="1" t="n">
        <v>16384</v>
      </c>
      <c r="E9" s="3" t="n">
        <v>59.99</v>
      </c>
      <c r="F9" s="5" t="n">
        <v>16668965.21</v>
      </c>
      <c r="G9" s="6" t="n">
        <v>0.011</v>
      </c>
      <c r="H9" s="1" t="n">
        <v>0.15</v>
      </c>
      <c r="I9" s="1"/>
    </row>
    <row r="10" customFormat="false" ht="15" hidden="false" customHeight="false" outlineLevel="0" collapsed="false">
      <c r="A10" s="1" t="s">
        <v>14</v>
      </c>
      <c r="B10" s="1" t="s">
        <v>18</v>
      </c>
      <c r="C10" s="1" t="s">
        <v>16</v>
      </c>
      <c r="D10" s="1" t="n">
        <v>16384</v>
      </c>
      <c r="E10" s="3" t="n">
        <v>26.19</v>
      </c>
      <c r="F10" s="5" t="n">
        <v>38187131.16</v>
      </c>
      <c r="G10" s="6" t="n">
        <v>0.005</v>
      </c>
      <c r="H10" s="1" t="n">
        <v>0.06</v>
      </c>
      <c r="I10" s="1"/>
    </row>
    <row r="11" customFormat="false" ht="15" hidden="false" customHeight="false" outlineLevel="0" collapsed="false">
      <c r="A11" s="1" t="s">
        <v>14</v>
      </c>
      <c r="B11" s="1" t="s">
        <v>18</v>
      </c>
      <c r="C11" s="1" t="s">
        <v>17</v>
      </c>
      <c r="D11" s="1" t="n">
        <v>16384</v>
      </c>
      <c r="E11" s="3" t="n">
        <v>24.19</v>
      </c>
      <c r="F11" s="5" t="n">
        <v>41335700.51</v>
      </c>
      <c r="G11" s="6" t="n">
        <v>0.01</v>
      </c>
      <c r="H11" s="1" t="n">
        <v>0.06</v>
      </c>
      <c r="I11" s="1"/>
    </row>
    <row r="12" customFormat="false" ht="15" hidden="false" customHeight="false" outlineLevel="0" collapsed="false">
      <c r="A12" s="1" t="s">
        <v>14</v>
      </c>
      <c r="B12" s="1" t="s">
        <v>19</v>
      </c>
      <c r="C12" s="1" t="s">
        <v>16</v>
      </c>
      <c r="D12" s="1" t="n">
        <v>16384</v>
      </c>
      <c r="E12" s="3" t="n">
        <v>18</v>
      </c>
      <c r="F12" s="5" t="n">
        <v>55552780.32</v>
      </c>
      <c r="G12" s="6" t="n">
        <v>0.009</v>
      </c>
      <c r="H12" s="1" t="n">
        <v>0.04</v>
      </c>
      <c r="I12" s="1"/>
    </row>
    <row r="13" customFormat="false" ht="15" hidden="false" customHeight="false" outlineLevel="0" collapsed="false">
      <c r="A13" s="1" t="s">
        <v>14</v>
      </c>
      <c r="B13" s="1" t="s">
        <v>19</v>
      </c>
      <c r="C13" s="1" t="s">
        <v>17</v>
      </c>
      <c r="D13" s="1" t="n">
        <v>16384</v>
      </c>
      <c r="E13" s="3" t="n">
        <v>21.22</v>
      </c>
      <c r="F13" s="5" t="n">
        <v>47122177.64</v>
      </c>
      <c r="G13" s="6" t="n">
        <v>0.006</v>
      </c>
      <c r="H13" s="1" t="n">
        <v>0.05</v>
      </c>
      <c r="I13" s="1"/>
    </row>
    <row r="14" customFormat="false" ht="15" hidden="false" customHeight="false" outlineLevel="0" collapsed="false">
      <c r="A14" s="1" t="s">
        <v>14</v>
      </c>
      <c r="B14" s="1" t="s">
        <v>15</v>
      </c>
      <c r="C14" s="1" t="s">
        <v>16</v>
      </c>
      <c r="D14" s="1" t="n">
        <v>65536</v>
      </c>
      <c r="E14" s="3" t="n">
        <v>102.73</v>
      </c>
      <c r="F14" s="5" t="n">
        <v>9733858.52</v>
      </c>
      <c r="G14" s="6" t="n">
        <v>0.007</v>
      </c>
      <c r="H14" s="1" t="n">
        <v>0.25</v>
      </c>
      <c r="I14" s="1"/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17</v>
      </c>
      <c r="D15" s="1" t="n">
        <v>65536</v>
      </c>
      <c r="E15" s="3" t="n">
        <v>97.5</v>
      </c>
      <c r="F15" s="5" t="n">
        <v>10256492.1</v>
      </c>
      <c r="G15" s="6" t="n">
        <v>0.007</v>
      </c>
      <c r="H15" s="1" t="n">
        <v>0.23</v>
      </c>
      <c r="I15" s="1"/>
    </row>
    <row r="16" customFormat="false" ht="15" hidden="false" customHeight="false" outlineLevel="0" collapsed="false">
      <c r="A16" s="1" t="s">
        <v>14</v>
      </c>
      <c r="B16" s="1" t="s">
        <v>18</v>
      </c>
      <c r="C16" s="1" t="s">
        <v>16</v>
      </c>
      <c r="D16" s="1" t="n">
        <v>65536</v>
      </c>
      <c r="E16" s="3" t="n">
        <v>40.38</v>
      </c>
      <c r="F16" s="5" t="n">
        <v>24765018.52</v>
      </c>
      <c r="G16" s="6" t="n">
        <v>0.008</v>
      </c>
      <c r="H16" s="1" t="n">
        <v>0.1</v>
      </c>
      <c r="I16" s="1"/>
    </row>
    <row r="17" customFormat="false" ht="15" hidden="false" customHeight="false" outlineLevel="0" collapsed="false">
      <c r="A17" s="1" t="s">
        <v>14</v>
      </c>
      <c r="B17" s="1" t="s">
        <v>18</v>
      </c>
      <c r="C17" s="1" t="s">
        <v>17</v>
      </c>
      <c r="D17" s="1" t="n">
        <v>65536</v>
      </c>
      <c r="E17" s="3" t="n">
        <v>36.4</v>
      </c>
      <c r="F17" s="5" t="n">
        <v>27476092.17</v>
      </c>
      <c r="G17" s="6" t="n">
        <v>0.004</v>
      </c>
      <c r="H17" s="1" t="n">
        <v>0.09</v>
      </c>
      <c r="I17" s="1"/>
    </row>
    <row r="18" customFormat="false" ht="15" hidden="false" customHeight="false" outlineLevel="0" collapsed="false">
      <c r="A18" s="1" t="s">
        <v>14</v>
      </c>
      <c r="B18" s="1" t="s">
        <v>19</v>
      </c>
      <c r="C18" s="1" t="s">
        <v>16</v>
      </c>
      <c r="D18" s="1" t="n">
        <v>65536</v>
      </c>
      <c r="E18" s="3" t="n">
        <v>26.25</v>
      </c>
      <c r="F18" s="5" t="n">
        <v>38091903.09</v>
      </c>
      <c r="G18" s="6" t="n">
        <v>0.003</v>
      </c>
      <c r="H18" s="1" t="n">
        <v>0.06</v>
      </c>
      <c r="I18" s="1"/>
    </row>
    <row r="19" customFormat="false" ht="15" hidden="false" customHeight="false" outlineLevel="0" collapsed="false">
      <c r="A19" s="1" t="s">
        <v>14</v>
      </c>
      <c r="B19" s="1" t="s">
        <v>19</v>
      </c>
      <c r="C19" s="1" t="s">
        <v>17</v>
      </c>
      <c r="D19" s="1" t="n">
        <v>65536</v>
      </c>
      <c r="E19" s="3" t="n">
        <v>29.55</v>
      </c>
      <c r="F19" s="5" t="n">
        <v>33842249.92</v>
      </c>
      <c r="G19" s="6" t="n">
        <v>0.013</v>
      </c>
      <c r="H19" s="1" t="n">
        <v>0.07</v>
      </c>
      <c r="I19" s="1"/>
    </row>
    <row r="20" customFormat="false" ht="15" hidden="false" customHeight="false" outlineLevel="0" collapsed="false">
      <c r="A20" s="1" t="s">
        <v>14</v>
      </c>
      <c r="B20" s="1" t="s">
        <v>15</v>
      </c>
      <c r="C20" s="1" t="s">
        <v>16</v>
      </c>
      <c r="D20" s="1" t="n">
        <v>262144</v>
      </c>
      <c r="E20" s="3" t="n">
        <v>185.67</v>
      </c>
      <c r="F20" s="5" t="n">
        <v>5385824.9</v>
      </c>
      <c r="G20" s="6" t="n">
        <v>0.015</v>
      </c>
      <c r="H20" s="1" t="n">
        <v>0.45</v>
      </c>
      <c r="I20" s="1"/>
    </row>
    <row r="21" customFormat="false" ht="15" hidden="false" customHeight="false" outlineLevel="0" collapsed="false">
      <c r="A21" s="1" t="s">
        <v>14</v>
      </c>
      <c r="B21" s="1" t="s">
        <v>15</v>
      </c>
      <c r="C21" s="1" t="s">
        <v>17</v>
      </c>
      <c r="D21" s="1" t="n">
        <v>262144</v>
      </c>
      <c r="E21" s="3" t="n">
        <v>181.21</v>
      </c>
      <c r="F21" s="5" t="n">
        <v>5518531.69</v>
      </c>
      <c r="G21" s="6" t="n">
        <v>0.012</v>
      </c>
      <c r="H21" s="1" t="n">
        <v>0.44</v>
      </c>
      <c r="I21" s="1"/>
    </row>
    <row r="22" customFormat="false" ht="15" hidden="false" customHeight="false" outlineLevel="0" collapsed="false">
      <c r="A22" s="1" t="s">
        <v>14</v>
      </c>
      <c r="B22" s="1" t="s">
        <v>18</v>
      </c>
      <c r="C22" s="1" t="s">
        <v>16</v>
      </c>
      <c r="D22" s="1" t="n">
        <v>262144</v>
      </c>
      <c r="E22" s="3" t="n">
        <v>76.63</v>
      </c>
      <c r="F22" s="5" t="n">
        <v>13050442.79</v>
      </c>
      <c r="G22" s="6" t="n">
        <v>0.02</v>
      </c>
      <c r="H22" s="1" t="n">
        <v>0.17</v>
      </c>
      <c r="I22" s="1"/>
    </row>
    <row r="23" customFormat="false" ht="15" hidden="false" customHeight="false" outlineLevel="0" collapsed="false">
      <c r="A23" s="1" t="s">
        <v>14</v>
      </c>
      <c r="B23" s="1" t="s">
        <v>18</v>
      </c>
      <c r="C23" s="1" t="s">
        <v>17</v>
      </c>
      <c r="D23" s="1" t="n">
        <v>262144</v>
      </c>
      <c r="E23" s="3" t="n">
        <v>70.34</v>
      </c>
      <c r="F23" s="5" t="n">
        <v>14217215.1</v>
      </c>
      <c r="G23" s="6" t="n">
        <v>0.004</v>
      </c>
      <c r="H23" s="1" t="n">
        <v>0.15</v>
      </c>
      <c r="I23" s="1"/>
    </row>
    <row r="24" customFormat="false" ht="15" hidden="false" customHeight="false" outlineLevel="0" collapsed="false">
      <c r="A24" s="1" t="s">
        <v>14</v>
      </c>
      <c r="B24" s="1" t="s">
        <v>19</v>
      </c>
      <c r="C24" s="1" t="s">
        <v>16</v>
      </c>
      <c r="D24" s="1" t="n">
        <v>262144</v>
      </c>
      <c r="E24" s="3" t="n">
        <v>48.51</v>
      </c>
      <c r="F24" s="5" t="n">
        <v>20616202.96</v>
      </c>
      <c r="G24" s="6" t="n">
        <v>0.024</v>
      </c>
      <c r="H24" s="1" t="n">
        <v>0.12</v>
      </c>
      <c r="I24" s="1"/>
    </row>
    <row r="25" customFormat="false" ht="15" hidden="false" customHeight="false" outlineLevel="0" collapsed="false">
      <c r="A25" s="1" t="s">
        <v>14</v>
      </c>
      <c r="B25" s="1" t="s">
        <v>19</v>
      </c>
      <c r="C25" s="1" t="s">
        <v>17</v>
      </c>
      <c r="D25" s="1" t="n">
        <v>262144</v>
      </c>
      <c r="E25" s="3" t="n">
        <v>50.53</v>
      </c>
      <c r="F25" s="5" t="n">
        <v>19792089.09</v>
      </c>
      <c r="G25" s="6" t="n">
        <v>0.007</v>
      </c>
      <c r="H25" s="1" t="n">
        <v>0.12</v>
      </c>
      <c r="I25" s="1"/>
    </row>
    <row r="26" customFormat="false" ht="15" hidden="false" customHeight="false" outlineLevel="0" collapsed="false">
      <c r="A26" s="1" t="s">
        <v>20</v>
      </c>
      <c r="B26" s="1" t="s">
        <v>15</v>
      </c>
      <c r="C26" s="1" t="s">
        <v>16</v>
      </c>
      <c r="D26" s="1" t="n">
        <v>4096</v>
      </c>
      <c r="E26" s="3" t="n">
        <v>20.07</v>
      </c>
      <c r="F26" s="5" t="n">
        <v>49825440.66</v>
      </c>
      <c r="G26" s="6" t="n">
        <v>0.027</v>
      </c>
      <c r="H26" s="1" t="n">
        <v>0</v>
      </c>
      <c r="I26" s="1"/>
    </row>
    <row r="27" customFormat="false" ht="15" hidden="false" customHeight="false" outlineLevel="0" collapsed="false">
      <c r="A27" s="1" t="s">
        <v>20</v>
      </c>
      <c r="B27" s="1" t="s">
        <v>15</v>
      </c>
      <c r="C27" s="1" t="s">
        <v>17</v>
      </c>
      <c r="D27" s="1" t="n">
        <v>4096</v>
      </c>
      <c r="E27" s="3" t="n">
        <v>56.08</v>
      </c>
      <c r="F27" s="5" t="n">
        <v>17832265.25</v>
      </c>
      <c r="G27" s="6" t="n">
        <v>0.011</v>
      </c>
      <c r="H27" s="1" t="n">
        <v>0</v>
      </c>
      <c r="I27" s="1"/>
    </row>
    <row r="28" customFormat="false" ht="15" hidden="false" customHeight="false" outlineLevel="0" collapsed="false">
      <c r="A28" s="1" t="s">
        <v>20</v>
      </c>
      <c r="B28" s="1" t="s">
        <v>18</v>
      </c>
      <c r="C28" s="1" t="s">
        <v>16</v>
      </c>
      <c r="D28" s="1" t="n">
        <v>4096</v>
      </c>
      <c r="E28" s="3" t="n">
        <v>21.73</v>
      </c>
      <c r="F28" s="5" t="n">
        <v>46017818.42</v>
      </c>
      <c r="G28" s="6" t="n">
        <v>0.023</v>
      </c>
      <c r="H28" s="1" t="n">
        <v>0</v>
      </c>
      <c r="I28" s="1"/>
    </row>
    <row r="29" customFormat="false" ht="15" hidden="false" customHeight="false" outlineLevel="0" collapsed="false">
      <c r="A29" s="1" t="s">
        <v>20</v>
      </c>
      <c r="B29" s="1" t="s">
        <v>18</v>
      </c>
      <c r="C29" s="1" t="s">
        <v>17</v>
      </c>
      <c r="D29" s="1" t="n">
        <v>4096</v>
      </c>
      <c r="E29" s="3" t="n">
        <v>37.02</v>
      </c>
      <c r="F29" s="5" t="n">
        <v>27011698.91</v>
      </c>
      <c r="G29" s="6" t="n">
        <v>0.022</v>
      </c>
      <c r="H29" s="1" t="n">
        <v>0</v>
      </c>
      <c r="I29" s="1"/>
    </row>
    <row r="30" customFormat="false" ht="15" hidden="false" customHeight="false" outlineLevel="0" collapsed="false">
      <c r="A30" s="1" t="s">
        <v>20</v>
      </c>
      <c r="B30" s="1" t="s">
        <v>19</v>
      </c>
      <c r="C30" s="1" t="s">
        <v>16</v>
      </c>
      <c r="D30" s="1" t="n">
        <v>4096</v>
      </c>
      <c r="E30" s="3" t="n">
        <v>23.52</v>
      </c>
      <c r="F30" s="5" t="n">
        <v>42512558.64</v>
      </c>
      <c r="G30" s="6" t="n">
        <v>0.02</v>
      </c>
      <c r="H30" s="1" t="n">
        <v>0</v>
      </c>
      <c r="I30" s="1"/>
    </row>
    <row r="31" customFormat="false" ht="15" hidden="false" customHeight="false" outlineLevel="0" collapsed="false">
      <c r="A31" s="1" t="s">
        <v>20</v>
      </c>
      <c r="B31" s="1" t="s">
        <v>19</v>
      </c>
      <c r="C31" s="1" t="s">
        <v>17</v>
      </c>
      <c r="D31" s="1" t="n">
        <v>4096</v>
      </c>
      <c r="E31" s="3" t="n">
        <v>59.91</v>
      </c>
      <c r="F31" s="5" t="n">
        <v>16690844.49</v>
      </c>
      <c r="G31" s="6" t="n">
        <v>0.025</v>
      </c>
      <c r="H31" s="1" t="n">
        <v>0</v>
      </c>
      <c r="I31" s="1"/>
    </row>
    <row r="32" customFormat="false" ht="15" hidden="false" customHeight="false" outlineLevel="0" collapsed="false">
      <c r="A32" s="1" t="s">
        <v>20</v>
      </c>
      <c r="B32" s="1" t="s">
        <v>15</v>
      </c>
      <c r="C32" s="1" t="s">
        <v>16</v>
      </c>
      <c r="D32" s="1" t="n">
        <v>16384</v>
      </c>
      <c r="E32" s="3" t="n">
        <v>24.74</v>
      </c>
      <c r="F32" s="5" t="n">
        <v>40417795.28</v>
      </c>
      <c r="G32" s="6" t="n">
        <v>0.069</v>
      </c>
      <c r="H32" s="1" t="n">
        <v>0</v>
      </c>
      <c r="I32" s="1" t="s">
        <v>39</v>
      </c>
    </row>
    <row r="33" customFormat="false" ht="15" hidden="false" customHeight="false" outlineLevel="0" collapsed="false">
      <c r="A33" s="1" t="s">
        <v>20</v>
      </c>
      <c r="B33" s="1" t="s">
        <v>15</v>
      </c>
      <c r="C33" s="1" t="s">
        <v>17</v>
      </c>
      <c r="D33" s="1" t="n">
        <v>16384</v>
      </c>
      <c r="E33" s="3" t="n">
        <v>71.86</v>
      </c>
      <c r="F33" s="5" t="n">
        <v>13915359.55</v>
      </c>
      <c r="G33" s="6" t="n">
        <v>0.017</v>
      </c>
      <c r="H33" s="1" t="n">
        <v>0.01</v>
      </c>
      <c r="I33" s="1"/>
    </row>
    <row r="34" customFormat="false" ht="15" hidden="false" customHeight="false" outlineLevel="0" collapsed="false">
      <c r="A34" s="1" t="s">
        <v>20</v>
      </c>
      <c r="B34" s="1" t="s">
        <v>18</v>
      </c>
      <c r="C34" s="1" t="s">
        <v>16</v>
      </c>
      <c r="D34" s="1" t="n">
        <v>16384</v>
      </c>
      <c r="E34" s="3" t="n">
        <v>28.48</v>
      </c>
      <c r="F34" s="5" t="n">
        <v>35106439.97</v>
      </c>
      <c r="G34" s="6" t="n">
        <v>0.026</v>
      </c>
      <c r="H34" s="1" t="n">
        <v>0.01</v>
      </c>
      <c r="I34" s="1"/>
    </row>
    <row r="35" customFormat="false" ht="15" hidden="false" customHeight="false" outlineLevel="0" collapsed="false">
      <c r="A35" s="1" t="s">
        <v>20</v>
      </c>
      <c r="B35" s="1" t="s">
        <v>18</v>
      </c>
      <c r="C35" s="1" t="s">
        <v>17</v>
      </c>
      <c r="D35" s="1" t="n">
        <v>16384</v>
      </c>
      <c r="E35" s="3" t="n">
        <v>56.88</v>
      </c>
      <c r="F35" s="5" t="n">
        <v>17581247.81</v>
      </c>
      <c r="G35" s="6" t="n">
        <v>0.009</v>
      </c>
      <c r="H35" s="1" t="n">
        <v>0.01</v>
      </c>
      <c r="I35" s="1"/>
    </row>
    <row r="36" customFormat="false" ht="15" hidden="false" customHeight="false" outlineLevel="0" collapsed="false">
      <c r="A36" s="1" t="s">
        <v>20</v>
      </c>
      <c r="B36" s="1" t="s">
        <v>19</v>
      </c>
      <c r="C36" s="1" t="s">
        <v>16</v>
      </c>
      <c r="D36" s="1" t="n">
        <v>16384</v>
      </c>
      <c r="E36" s="3" t="n">
        <v>25.72</v>
      </c>
      <c r="F36" s="5" t="n">
        <v>38887768.06</v>
      </c>
      <c r="G36" s="6" t="n">
        <v>0.031</v>
      </c>
      <c r="H36" s="1" t="n">
        <v>0</v>
      </c>
      <c r="I36" s="1"/>
    </row>
    <row r="37" customFormat="false" ht="15" hidden="false" customHeight="false" outlineLevel="0" collapsed="false">
      <c r="A37" s="1" t="s">
        <v>20</v>
      </c>
      <c r="B37" s="1" t="s">
        <v>19</v>
      </c>
      <c r="C37" s="1" t="s">
        <v>17</v>
      </c>
      <c r="D37" s="1" t="n">
        <v>16384</v>
      </c>
      <c r="E37" s="3" t="n">
        <v>75.91</v>
      </c>
      <c r="F37" s="5" t="n">
        <v>13173817.36</v>
      </c>
      <c r="G37" s="6" t="n">
        <v>0.009</v>
      </c>
      <c r="H37" s="1" t="n">
        <v>0.01</v>
      </c>
      <c r="I37" s="1"/>
    </row>
    <row r="38" customFormat="false" ht="15" hidden="false" customHeight="false" outlineLevel="0" collapsed="false">
      <c r="A38" s="1" t="s">
        <v>20</v>
      </c>
      <c r="B38" s="1" t="s">
        <v>15</v>
      </c>
      <c r="C38" s="1" t="s">
        <v>16</v>
      </c>
      <c r="D38" s="1" t="n">
        <v>65536</v>
      </c>
      <c r="E38" s="3" t="n">
        <v>56.4</v>
      </c>
      <c r="F38" s="5" t="n">
        <v>17729083.4</v>
      </c>
      <c r="G38" s="6" t="n">
        <v>0.045</v>
      </c>
      <c r="H38" s="1" t="n">
        <v>0.03</v>
      </c>
      <c r="I38" s="1"/>
    </row>
    <row r="39" customFormat="false" ht="15" hidden="false" customHeight="false" outlineLevel="0" collapsed="false">
      <c r="A39" s="1" t="s">
        <v>20</v>
      </c>
      <c r="B39" s="1" t="s">
        <v>15</v>
      </c>
      <c r="C39" s="1" t="s">
        <v>17</v>
      </c>
      <c r="D39" s="1" t="n">
        <v>65536</v>
      </c>
      <c r="E39" s="3" t="n">
        <v>94.87</v>
      </c>
      <c r="F39" s="5" t="n">
        <v>10541025.33</v>
      </c>
      <c r="G39" s="6" t="n">
        <v>0.02</v>
      </c>
      <c r="H39" s="1" t="n">
        <v>0.07</v>
      </c>
      <c r="I39" s="1"/>
    </row>
    <row r="40" customFormat="false" ht="15" hidden="false" customHeight="false" outlineLevel="0" collapsed="false">
      <c r="A40" s="1" t="s">
        <v>20</v>
      </c>
      <c r="B40" s="1" t="s">
        <v>18</v>
      </c>
      <c r="C40" s="1" t="s">
        <v>16</v>
      </c>
      <c r="D40" s="1" t="n">
        <v>65536</v>
      </c>
      <c r="E40" s="3" t="n">
        <v>71.89</v>
      </c>
      <c r="F40" s="5" t="n">
        <v>13909343.49</v>
      </c>
      <c r="G40" s="6" t="n">
        <v>0.253</v>
      </c>
      <c r="H40" s="1" t="n">
        <v>0.05</v>
      </c>
      <c r="I40" s="1" t="s">
        <v>39</v>
      </c>
    </row>
    <row r="41" customFormat="false" ht="15" hidden="false" customHeight="false" outlineLevel="0" collapsed="false">
      <c r="A41" s="1" t="s">
        <v>20</v>
      </c>
      <c r="B41" s="1" t="s">
        <v>18</v>
      </c>
      <c r="C41" s="1" t="s">
        <v>17</v>
      </c>
      <c r="D41" s="1" t="n">
        <v>65536</v>
      </c>
      <c r="E41" s="3" t="n">
        <v>102.77</v>
      </c>
      <c r="F41" s="5" t="n">
        <v>9730292.32</v>
      </c>
      <c r="G41" s="6" t="n">
        <v>0.048</v>
      </c>
      <c r="H41" s="1" t="n">
        <v>0.07</v>
      </c>
      <c r="I41" s="1"/>
    </row>
    <row r="42" customFormat="false" ht="15" hidden="false" customHeight="false" outlineLevel="0" collapsed="false">
      <c r="A42" s="1" t="s">
        <v>20</v>
      </c>
      <c r="B42" s="1" t="s">
        <v>19</v>
      </c>
      <c r="C42" s="1" t="s">
        <v>16</v>
      </c>
      <c r="D42" s="1" t="n">
        <v>65536</v>
      </c>
      <c r="E42" s="3" t="n">
        <v>31.47</v>
      </c>
      <c r="F42" s="5" t="n">
        <v>31776216.62</v>
      </c>
      <c r="G42" s="6" t="n">
        <v>0.033</v>
      </c>
      <c r="H42" s="1" t="n">
        <v>0.04</v>
      </c>
      <c r="I42" s="1"/>
    </row>
    <row r="43" customFormat="false" ht="15" hidden="false" customHeight="false" outlineLevel="0" collapsed="false">
      <c r="A43" s="1" t="s">
        <v>20</v>
      </c>
      <c r="B43" s="1" t="s">
        <v>19</v>
      </c>
      <c r="C43" s="1" t="s">
        <v>17</v>
      </c>
      <c r="D43" s="1" t="n">
        <v>65536</v>
      </c>
      <c r="E43" s="3" t="n">
        <v>106.47</v>
      </c>
      <c r="F43" s="5" t="n">
        <v>9392397.74</v>
      </c>
      <c r="G43" s="6" t="n">
        <v>0.035</v>
      </c>
      <c r="H43" s="1" t="n">
        <v>0.08</v>
      </c>
      <c r="I43" s="1"/>
    </row>
    <row r="44" customFormat="false" ht="15" hidden="false" customHeight="false" outlineLevel="0" collapsed="false">
      <c r="A44" s="1" t="s">
        <v>20</v>
      </c>
      <c r="B44" s="1" t="s">
        <v>15</v>
      </c>
      <c r="C44" s="1" t="s">
        <v>16</v>
      </c>
      <c r="D44" s="1" t="n">
        <v>262144</v>
      </c>
      <c r="E44" s="3" t="n">
        <v>76.15</v>
      </c>
      <c r="F44" s="5" t="n">
        <v>13132368.84</v>
      </c>
      <c r="G44" s="6" t="n">
        <v>0.193</v>
      </c>
      <c r="H44" s="1" t="n">
        <v>0.22</v>
      </c>
      <c r="I44" s="1" t="s">
        <v>39</v>
      </c>
    </row>
    <row r="45" customFormat="false" ht="15" hidden="false" customHeight="false" outlineLevel="0" collapsed="false">
      <c r="A45" s="1" t="s">
        <v>20</v>
      </c>
      <c r="B45" s="1" t="s">
        <v>15</v>
      </c>
      <c r="C45" s="1" t="s">
        <v>17</v>
      </c>
      <c r="D45" s="1" t="n">
        <v>262144</v>
      </c>
      <c r="E45" s="3" t="n">
        <v>152.81</v>
      </c>
      <c r="F45" s="5" t="n">
        <v>6544017.1</v>
      </c>
      <c r="G45" s="6" t="n">
        <v>0.022</v>
      </c>
      <c r="H45" s="1" t="n">
        <v>0.44</v>
      </c>
      <c r="I45" s="1"/>
    </row>
    <row r="46" customFormat="false" ht="15" hidden="false" customHeight="false" outlineLevel="0" collapsed="false">
      <c r="A46" s="1" t="s">
        <v>20</v>
      </c>
      <c r="B46" s="1" t="s">
        <v>18</v>
      </c>
      <c r="C46" s="1" t="s">
        <v>16</v>
      </c>
      <c r="D46" s="1" t="n">
        <v>262144</v>
      </c>
      <c r="E46" s="3" t="n">
        <v>80.4</v>
      </c>
      <c r="F46" s="5" t="n">
        <v>12438149.45</v>
      </c>
      <c r="G46" s="6" t="n">
        <v>0.047</v>
      </c>
      <c r="H46" s="1" t="n">
        <v>0.24</v>
      </c>
      <c r="I46" s="1"/>
    </row>
    <row r="47" customFormat="false" ht="15" hidden="false" customHeight="false" outlineLevel="0" collapsed="false">
      <c r="A47" s="1" t="s">
        <v>20</v>
      </c>
      <c r="B47" s="1" t="s">
        <v>18</v>
      </c>
      <c r="C47" s="1" t="s">
        <v>17</v>
      </c>
      <c r="D47" s="1" t="n">
        <v>262144</v>
      </c>
      <c r="E47" s="3" t="n">
        <v>189.65</v>
      </c>
      <c r="F47" s="5" t="n">
        <v>5272950.48</v>
      </c>
      <c r="G47" s="6" t="n">
        <v>0.009</v>
      </c>
      <c r="H47" s="1" t="n">
        <v>0.54</v>
      </c>
      <c r="I47" s="1"/>
    </row>
    <row r="48" customFormat="false" ht="15" hidden="false" customHeight="false" outlineLevel="0" collapsed="false">
      <c r="A48" s="1" t="s">
        <v>20</v>
      </c>
      <c r="B48" s="1" t="s">
        <v>19</v>
      </c>
      <c r="C48" s="1" t="s">
        <v>16</v>
      </c>
      <c r="D48" s="1" t="n">
        <v>262144</v>
      </c>
      <c r="E48" s="3" t="n">
        <v>40.72</v>
      </c>
      <c r="F48" s="5" t="n">
        <v>24559863.4</v>
      </c>
      <c r="G48" s="6" t="n">
        <v>0.033</v>
      </c>
      <c r="H48" s="1" t="n">
        <v>0.22</v>
      </c>
      <c r="I48" s="1"/>
    </row>
    <row r="49" customFormat="false" ht="15" hidden="false" customHeight="false" outlineLevel="0" collapsed="false">
      <c r="A49" s="1" t="s">
        <v>20</v>
      </c>
      <c r="B49" s="1" t="s">
        <v>19</v>
      </c>
      <c r="C49" s="1" t="s">
        <v>17</v>
      </c>
      <c r="D49" s="1" t="n">
        <v>262144</v>
      </c>
      <c r="E49" s="3" t="n">
        <v>177.26</v>
      </c>
      <c r="F49" s="5" t="n">
        <v>5641552.49</v>
      </c>
      <c r="G49" s="6" t="n">
        <v>0.005</v>
      </c>
      <c r="H49" s="1" t="n">
        <v>0.51</v>
      </c>
      <c r="I49" s="1"/>
    </row>
    <row r="50" customFormat="false" ht="15" hidden="false" customHeight="false" outlineLevel="0" collapsed="false">
      <c r="A50" s="1" t="s">
        <v>21</v>
      </c>
      <c r="B50" s="1" t="s">
        <v>15</v>
      </c>
      <c r="C50" s="1" t="s">
        <v>16</v>
      </c>
      <c r="D50" s="1" t="n">
        <v>4096</v>
      </c>
      <c r="E50" s="3" t="n">
        <v>17.5</v>
      </c>
      <c r="F50" s="5" t="n">
        <v>57142059.96</v>
      </c>
      <c r="G50" s="6" t="n">
        <v>0.037</v>
      </c>
      <c r="H50" s="1" t="n">
        <v>0</v>
      </c>
      <c r="I50" s="1"/>
    </row>
    <row r="51" customFormat="false" ht="15" hidden="false" customHeight="false" outlineLevel="0" collapsed="false">
      <c r="A51" s="1" t="s">
        <v>21</v>
      </c>
      <c r="B51" s="1" t="s">
        <v>15</v>
      </c>
      <c r="C51" s="1" t="s">
        <v>17</v>
      </c>
      <c r="D51" s="1" t="n">
        <v>4096</v>
      </c>
      <c r="E51" s="3" t="n">
        <v>59.08</v>
      </c>
      <c r="F51" s="5" t="n">
        <v>16927438.49</v>
      </c>
      <c r="G51" s="6" t="n">
        <v>0.024</v>
      </c>
      <c r="H51" s="1" t="n">
        <v>0</v>
      </c>
      <c r="I51" s="1"/>
    </row>
    <row r="52" customFormat="false" ht="15" hidden="false" customHeight="false" outlineLevel="0" collapsed="false">
      <c r="A52" s="1" t="s">
        <v>21</v>
      </c>
      <c r="B52" s="1" t="s">
        <v>18</v>
      </c>
      <c r="C52" s="1" t="s">
        <v>16</v>
      </c>
      <c r="D52" s="1" t="n">
        <v>4096</v>
      </c>
      <c r="E52" s="3" t="n">
        <v>13.89</v>
      </c>
      <c r="F52" s="5" t="n">
        <v>71982145.05</v>
      </c>
      <c r="G52" s="6" t="n">
        <v>0.022</v>
      </c>
      <c r="H52" s="1" t="n">
        <v>0</v>
      </c>
      <c r="I52" s="1"/>
    </row>
    <row r="53" customFormat="false" ht="15" hidden="false" customHeight="false" outlineLevel="0" collapsed="false">
      <c r="A53" s="1" t="s">
        <v>21</v>
      </c>
      <c r="B53" s="1" t="s">
        <v>18</v>
      </c>
      <c r="C53" s="1" t="s">
        <v>17</v>
      </c>
      <c r="D53" s="1" t="n">
        <v>4096</v>
      </c>
      <c r="E53" s="3" t="n">
        <v>39.21</v>
      </c>
      <c r="F53" s="5" t="n">
        <v>25503882.24</v>
      </c>
      <c r="G53" s="6" t="n">
        <v>0.016</v>
      </c>
      <c r="H53" s="1" t="n">
        <v>0</v>
      </c>
      <c r="I53" s="1"/>
    </row>
    <row r="54" customFormat="false" ht="15" hidden="false" customHeight="false" outlineLevel="0" collapsed="false">
      <c r="A54" s="1" t="s">
        <v>21</v>
      </c>
      <c r="B54" s="1" t="s">
        <v>19</v>
      </c>
      <c r="C54" s="1" t="s">
        <v>16</v>
      </c>
      <c r="D54" s="1" t="n">
        <v>4096</v>
      </c>
      <c r="E54" s="3" t="n">
        <v>19.5</v>
      </c>
      <c r="F54" s="5" t="n">
        <v>51285903.89</v>
      </c>
      <c r="G54" s="6" t="n">
        <v>0.086</v>
      </c>
      <c r="H54" s="1" t="n">
        <v>0</v>
      </c>
      <c r="I54" s="1" t="s">
        <v>39</v>
      </c>
    </row>
    <row r="55" customFormat="false" ht="15" hidden="false" customHeight="false" outlineLevel="0" collapsed="false">
      <c r="A55" s="1" t="s">
        <v>21</v>
      </c>
      <c r="B55" s="1" t="s">
        <v>19</v>
      </c>
      <c r="C55" s="1" t="s">
        <v>17</v>
      </c>
      <c r="D55" s="1" t="n">
        <v>4096</v>
      </c>
      <c r="E55" s="3" t="n">
        <v>59.16</v>
      </c>
      <c r="F55" s="5" t="n">
        <v>16904733.41</v>
      </c>
      <c r="G55" s="6" t="n">
        <v>0.027</v>
      </c>
      <c r="H55" s="1" t="n">
        <v>0</v>
      </c>
      <c r="I55" s="1"/>
    </row>
    <row r="56" customFormat="false" ht="15" hidden="false" customHeight="false" outlineLevel="0" collapsed="false">
      <c r="A56" s="1" t="s">
        <v>21</v>
      </c>
      <c r="B56" s="1" t="s">
        <v>15</v>
      </c>
      <c r="C56" s="1" t="s">
        <v>16</v>
      </c>
      <c r="D56" s="1" t="n">
        <v>16384</v>
      </c>
      <c r="E56" s="3" t="n">
        <v>18.39</v>
      </c>
      <c r="F56" s="5" t="n">
        <v>54388166.32</v>
      </c>
      <c r="G56" s="6" t="n">
        <v>0.059</v>
      </c>
      <c r="H56" s="1" t="n">
        <v>0</v>
      </c>
      <c r="I56" s="1" t="s">
        <v>39</v>
      </c>
    </row>
    <row r="57" customFormat="false" ht="15" hidden="false" customHeight="false" outlineLevel="0" collapsed="false">
      <c r="A57" s="1" t="s">
        <v>21</v>
      </c>
      <c r="B57" s="1" t="s">
        <v>15</v>
      </c>
      <c r="C57" s="1" t="s">
        <v>17</v>
      </c>
      <c r="D57" s="1" t="n">
        <v>16384</v>
      </c>
      <c r="E57" s="3" t="n">
        <v>80.66</v>
      </c>
      <c r="F57" s="5" t="n">
        <v>12397422.75</v>
      </c>
      <c r="G57" s="6" t="n">
        <v>0.017</v>
      </c>
      <c r="H57" s="1" t="n">
        <v>0.01</v>
      </c>
      <c r="I57" s="1"/>
    </row>
    <row r="58" customFormat="false" ht="15" hidden="false" customHeight="false" outlineLevel="0" collapsed="false">
      <c r="A58" s="1" t="s">
        <v>21</v>
      </c>
      <c r="B58" s="1" t="s">
        <v>18</v>
      </c>
      <c r="C58" s="1" t="s">
        <v>16</v>
      </c>
      <c r="D58" s="1" t="n">
        <v>16384</v>
      </c>
      <c r="E58" s="3" t="n">
        <v>16.89</v>
      </c>
      <c r="F58" s="5" t="n">
        <v>59220704.11</v>
      </c>
      <c r="G58" s="6" t="n">
        <v>0.033</v>
      </c>
      <c r="H58" s="1" t="n">
        <v>0</v>
      </c>
      <c r="I58" s="1"/>
    </row>
    <row r="59" customFormat="false" ht="15" hidden="false" customHeight="false" outlineLevel="0" collapsed="false">
      <c r="A59" s="1" t="s">
        <v>21</v>
      </c>
      <c r="B59" s="1" t="s">
        <v>18</v>
      </c>
      <c r="C59" s="1" t="s">
        <v>17</v>
      </c>
      <c r="D59" s="1" t="n">
        <v>16384</v>
      </c>
      <c r="E59" s="3" t="n">
        <v>54.94</v>
      </c>
      <c r="F59" s="5" t="n">
        <v>18201006.48</v>
      </c>
      <c r="G59" s="6" t="n">
        <v>0.017</v>
      </c>
      <c r="H59" s="1" t="n">
        <v>0.01</v>
      </c>
      <c r="I59" s="1"/>
    </row>
    <row r="60" customFormat="false" ht="15" hidden="false" customHeight="false" outlineLevel="0" collapsed="false">
      <c r="A60" s="1" t="s">
        <v>21</v>
      </c>
      <c r="B60" s="1" t="s">
        <v>19</v>
      </c>
      <c r="C60" s="1" t="s">
        <v>16</v>
      </c>
      <c r="D60" s="1" t="n">
        <v>16384</v>
      </c>
      <c r="E60" s="3" t="n">
        <v>23.74</v>
      </c>
      <c r="F60" s="5" t="n">
        <v>42121392.08</v>
      </c>
      <c r="G60" s="6" t="n">
        <v>0.015</v>
      </c>
      <c r="H60" s="1" t="n">
        <v>0</v>
      </c>
      <c r="I60" s="1"/>
    </row>
    <row r="61" customFormat="false" ht="15" hidden="false" customHeight="false" outlineLevel="0" collapsed="false">
      <c r="A61" s="1" t="s">
        <v>21</v>
      </c>
      <c r="B61" s="1" t="s">
        <v>19</v>
      </c>
      <c r="C61" s="1" t="s">
        <v>17</v>
      </c>
      <c r="D61" s="1" t="n">
        <v>16384</v>
      </c>
      <c r="E61" s="3" t="n">
        <v>79.05</v>
      </c>
      <c r="F61" s="5" t="n">
        <v>12650672.65</v>
      </c>
      <c r="G61" s="6" t="n">
        <v>0.007</v>
      </c>
      <c r="H61" s="1" t="n">
        <v>0.01</v>
      </c>
      <c r="I61" s="1"/>
    </row>
    <row r="62" customFormat="false" ht="15" hidden="false" customHeight="false" outlineLevel="0" collapsed="false">
      <c r="A62" s="1" t="s">
        <v>21</v>
      </c>
      <c r="B62" s="1" t="s">
        <v>15</v>
      </c>
      <c r="C62" s="1" t="s">
        <v>16</v>
      </c>
      <c r="D62" s="1" t="n">
        <v>65536</v>
      </c>
      <c r="E62" s="3" t="n">
        <v>19.37</v>
      </c>
      <c r="F62" s="5" t="n">
        <v>51634577.58</v>
      </c>
      <c r="G62" s="6" t="n">
        <v>0.035</v>
      </c>
      <c r="H62" s="1" t="n">
        <v>0.01</v>
      </c>
      <c r="I62" s="1"/>
    </row>
    <row r="63" customFormat="false" ht="15" hidden="false" customHeight="false" outlineLevel="0" collapsed="false">
      <c r="A63" s="1" t="s">
        <v>21</v>
      </c>
      <c r="B63" s="1" t="s">
        <v>15</v>
      </c>
      <c r="C63" s="1" t="s">
        <v>17</v>
      </c>
      <c r="D63" s="1" t="n">
        <v>65536</v>
      </c>
      <c r="E63" s="3" t="n">
        <v>122.37</v>
      </c>
      <c r="F63" s="5" t="n">
        <v>8171616.92</v>
      </c>
      <c r="G63" s="6" t="n">
        <v>0.014</v>
      </c>
      <c r="H63" s="1" t="n">
        <v>0.09</v>
      </c>
      <c r="I63" s="1"/>
    </row>
    <row r="64" customFormat="false" ht="15" hidden="false" customHeight="false" outlineLevel="0" collapsed="false">
      <c r="A64" s="1" t="s">
        <v>21</v>
      </c>
      <c r="B64" s="1" t="s">
        <v>18</v>
      </c>
      <c r="C64" s="1" t="s">
        <v>16</v>
      </c>
      <c r="D64" s="1" t="n">
        <v>65536</v>
      </c>
      <c r="E64" s="3" t="n">
        <v>36.95</v>
      </c>
      <c r="F64" s="5" t="n">
        <v>27063512.29</v>
      </c>
      <c r="G64" s="6" t="n">
        <v>0.069</v>
      </c>
      <c r="H64" s="1" t="n">
        <v>0.03</v>
      </c>
      <c r="I64" s="1" t="s">
        <v>39</v>
      </c>
    </row>
    <row r="65" customFormat="false" ht="15" hidden="false" customHeight="false" outlineLevel="0" collapsed="false">
      <c r="A65" s="1" t="s">
        <v>21</v>
      </c>
      <c r="B65" s="1" t="s">
        <v>18</v>
      </c>
      <c r="C65" s="1" t="s">
        <v>17</v>
      </c>
      <c r="D65" s="1" t="n">
        <v>65536</v>
      </c>
      <c r="E65" s="3" t="n">
        <v>92.8</v>
      </c>
      <c r="F65" s="5" t="n">
        <v>10776331.27</v>
      </c>
      <c r="G65" s="6" t="n">
        <v>0.025</v>
      </c>
      <c r="H65" s="1" t="n">
        <v>0.07</v>
      </c>
      <c r="I65" s="1"/>
    </row>
    <row r="66" customFormat="false" ht="15" hidden="false" customHeight="false" outlineLevel="0" collapsed="false">
      <c r="A66" s="1" t="s">
        <v>21</v>
      </c>
      <c r="B66" s="1" t="s">
        <v>19</v>
      </c>
      <c r="C66" s="1" t="s">
        <v>16</v>
      </c>
      <c r="D66" s="1" t="n">
        <v>65536</v>
      </c>
      <c r="E66" s="3" t="n">
        <v>28.25</v>
      </c>
      <c r="F66" s="5" t="n">
        <v>35392017.25</v>
      </c>
      <c r="G66" s="6" t="n">
        <v>0.011</v>
      </c>
      <c r="H66" s="1" t="n">
        <v>0.02</v>
      </c>
      <c r="I66" s="1"/>
    </row>
    <row r="67" customFormat="false" ht="15" hidden="false" customHeight="false" outlineLevel="0" collapsed="false">
      <c r="A67" s="1" t="s">
        <v>21</v>
      </c>
      <c r="B67" s="1" t="s">
        <v>19</v>
      </c>
      <c r="C67" s="1" t="s">
        <v>17</v>
      </c>
      <c r="D67" s="1" t="n">
        <v>65536</v>
      </c>
      <c r="E67" s="3" t="n">
        <v>128.84</v>
      </c>
      <c r="F67" s="5" t="n">
        <v>7761855.44</v>
      </c>
      <c r="G67" s="6" t="n">
        <v>0.007</v>
      </c>
      <c r="H67" s="1" t="n">
        <v>0.09</v>
      </c>
      <c r="I67" s="1"/>
    </row>
    <row r="68" customFormat="false" ht="15" hidden="false" customHeight="false" outlineLevel="0" collapsed="false">
      <c r="A68" s="1" t="s">
        <v>21</v>
      </c>
      <c r="B68" s="1" t="s">
        <v>15</v>
      </c>
      <c r="C68" s="1" t="s">
        <v>16</v>
      </c>
      <c r="D68" s="1" t="n">
        <v>262144</v>
      </c>
      <c r="E68" s="3" t="n">
        <v>25.71</v>
      </c>
      <c r="F68" s="5" t="n">
        <v>38891131.57</v>
      </c>
      <c r="G68" s="6" t="n">
        <v>0.122</v>
      </c>
      <c r="H68" s="1" t="n">
        <v>0.07</v>
      </c>
      <c r="I68" s="1" t="s">
        <v>39</v>
      </c>
    </row>
    <row r="69" customFormat="false" ht="15" hidden="false" customHeight="false" outlineLevel="0" collapsed="false">
      <c r="A69" s="1" t="s">
        <v>21</v>
      </c>
      <c r="B69" s="1" t="s">
        <v>15</v>
      </c>
      <c r="C69" s="1" t="s">
        <v>17</v>
      </c>
      <c r="D69" s="1" t="n">
        <v>262144</v>
      </c>
      <c r="E69" s="3" t="n">
        <v>211.19</v>
      </c>
      <c r="F69" s="5" t="n">
        <v>4735115.99</v>
      </c>
      <c r="G69" s="6" t="n">
        <v>0.005</v>
      </c>
      <c r="H69" s="1" t="n">
        <v>0.61</v>
      </c>
      <c r="I69" s="1"/>
    </row>
    <row r="70" customFormat="false" ht="15" hidden="false" customHeight="false" outlineLevel="0" collapsed="false">
      <c r="A70" s="1" t="s">
        <v>21</v>
      </c>
      <c r="B70" s="1" t="s">
        <v>18</v>
      </c>
      <c r="C70" s="1" t="s">
        <v>16</v>
      </c>
      <c r="D70" s="1" t="n">
        <v>262144</v>
      </c>
      <c r="E70" s="3" t="n">
        <v>45.74</v>
      </c>
      <c r="F70" s="5" t="n">
        <v>21864986.31</v>
      </c>
      <c r="G70" s="6" t="n">
        <v>0.039</v>
      </c>
      <c r="H70" s="1" t="n">
        <v>0.13</v>
      </c>
      <c r="I70" s="1"/>
    </row>
    <row r="71" customFormat="false" ht="15" hidden="false" customHeight="false" outlineLevel="0" collapsed="false">
      <c r="A71" s="1" t="s">
        <v>21</v>
      </c>
      <c r="B71" s="1" t="s">
        <v>18</v>
      </c>
      <c r="C71" s="1" t="s">
        <v>17</v>
      </c>
      <c r="D71" s="1" t="n">
        <v>262144</v>
      </c>
      <c r="E71" s="3" t="n">
        <v>181.06</v>
      </c>
      <c r="F71" s="5" t="n">
        <v>5523022.39</v>
      </c>
      <c r="G71" s="6" t="n">
        <v>0.012</v>
      </c>
      <c r="H71" s="1" t="n">
        <v>0.52</v>
      </c>
      <c r="I71" s="1"/>
    </row>
    <row r="72" customFormat="false" ht="15" hidden="false" customHeight="false" outlineLevel="0" collapsed="false">
      <c r="A72" s="1" t="s">
        <v>21</v>
      </c>
      <c r="B72" s="1" t="s">
        <v>19</v>
      </c>
      <c r="C72" s="1" t="s">
        <v>16</v>
      </c>
      <c r="D72" s="1" t="n">
        <v>262144</v>
      </c>
      <c r="E72" s="3" t="n">
        <v>33</v>
      </c>
      <c r="F72" s="5" t="n">
        <v>30301447.06</v>
      </c>
      <c r="G72" s="6" t="n">
        <v>0.03</v>
      </c>
      <c r="H72" s="1" t="n">
        <v>0.09</v>
      </c>
      <c r="I72" s="1"/>
    </row>
    <row r="73" customFormat="false" ht="15" hidden="false" customHeight="false" outlineLevel="0" collapsed="false">
      <c r="A73" s="1" t="s">
        <v>21</v>
      </c>
      <c r="B73" s="1" t="s">
        <v>19</v>
      </c>
      <c r="C73" s="1" t="s">
        <v>17</v>
      </c>
      <c r="D73" s="1" t="n">
        <v>262144</v>
      </c>
      <c r="E73" s="3" t="n">
        <v>206.4</v>
      </c>
      <c r="F73" s="5" t="n">
        <v>4844987.44</v>
      </c>
      <c r="G73" s="6" t="n">
        <v>0.007</v>
      </c>
      <c r="H73" s="1" t="n">
        <v>0.6</v>
      </c>
      <c r="I7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2026-10-22T19:34:15Z</dcterms:created>
  <dc:creator>openpyxl</dc:creator>
  <dc:description/>
  <dc:language>en-US</dc:language>
  <cp:lastModifiedBy/>
  <dcterms:modified xsi:type="dcterms:W3CDTF">2026-10-22T19:34:15Z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