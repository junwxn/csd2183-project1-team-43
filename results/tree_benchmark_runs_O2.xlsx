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Telegram Desktop\"/>
    </mc:Choice>
  </mc:AlternateContent>
  <xr:revisionPtr revIDLastSave="0" documentId="13_ncr:1_{82F2296F-3DBE-4A43-9B3D-018B473A3306}" xr6:coauthVersionLast="47" xr6:coauthVersionMax="47" xr10:uidLastSave="{00000000-0000-0000-0000-000000000000}"/>
  <bookViews>
    <workbookView xWindow="-108" yWindow="-108" windowWidth="30936" windowHeight="18696" tabRatio="500" xr2:uid="{00000000-000D-0000-FFFF-FFFF00000000}"/>
  </bookViews>
  <sheets>
    <sheet name="Notes" sheetId="1" r:id="rId1"/>
    <sheet name="Median" sheetId="2" r:id="rId2"/>
    <sheet name="Runtime Charts" sheetId="15" r:id="rId3"/>
    <sheet name="Ratios" sheetId="3" r:id="rId4"/>
    <sheet name="Run 1" sheetId="4" r:id="rId5"/>
    <sheet name="Run 2" sheetId="5" r:id="rId6"/>
    <sheet name="Run 3" sheetId="6" r:id="rId7"/>
    <sheet name="Run 4" sheetId="7" r:id="rId8"/>
    <sheet name="Run 5" sheetId="8" r:id="rId9"/>
    <sheet name="Run 6" sheetId="9" r:id="rId10"/>
    <sheet name="Run 7" sheetId="10" r:id="rId11"/>
    <sheet name="Run 8" sheetId="11" r:id="rId12"/>
    <sheet name="Run 9" sheetId="12" r:id="rId13"/>
    <sheet name="Run 10" sheetId="13" r:id="rId14"/>
    <sheet name="Run 11" sheetId="14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3" l="1"/>
  <c r="B10" i="3"/>
  <c r="B7" i="3"/>
  <c r="B5" i="3"/>
  <c r="H73" i="2"/>
  <c r="G73" i="2"/>
  <c r="F73" i="2"/>
  <c r="E73" i="2"/>
  <c r="B11" i="3" s="1"/>
  <c r="H72" i="2"/>
  <c r="G72" i="2"/>
  <c r="F72" i="2"/>
  <c r="E72" i="2"/>
  <c r="H71" i="2"/>
  <c r="G71" i="2"/>
  <c r="F71" i="2"/>
  <c r="E71" i="2"/>
  <c r="H70" i="2"/>
  <c r="G70" i="2"/>
  <c r="F70" i="2"/>
  <c r="E70" i="2"/>
  <c r="H69" i="2"/>
  <c r="G69" i="2"/>
  <c r="F69" i="2"/>
  <c r="E69" i="2"/>
  <c r="H68" i="2"/>
  <c r="G68" i="2"/>
  <c r="F68" i="2"/>
  <c r="E68" i="2"/>
  <c r="H67" i="2"/>
  <c r="G67" i="2"/>
  <c r="F67" i="2"/>
  <c r="E67" i="2"/>
  <c r="H66" i="2"/>
  <c r="G66" i="2"/>
  <c r="F66" i="2"/>
  <c r="E66" i="2"/>
  <c r="H65" i="2"/>
  <c r="G65" i="2"/>
  <c r="F65" i="2"/>
  <c r="E65" i="2"/>
  <c r="H64" i="2"/>
  <c r="G64" i="2"/>
  <c r="F64" i="2"/>
  <c r="E64" i="2"/>
  <c r="H63" i="2"/>
  <c r="G63" i="2"/>
  <c r="F63" i="2"/>
  <c r="E63" i="2"/>
  <c r="H62" i="2"/>
  <c r="G62" i="2"/>
  <c r="F62" i="2"/>
  <c r="E62" i="2"/>
  <c r="H61" i="2"/>
  <c r="G61" i="2"/>
  <c r="F61" i="2"/>
  <c r="E61" i="2"/>
  <c r="H60" i="2"/>
  <c r="G60" i="2"/>
  <c r="F60" i="2"/>
  <c r="E60" i="2"/>
  <c r="H59" i="2"/>
  <c r="G59" i="2"/>
  <c r="F59" i="2"/>
  <c r="E59" i="2"/>
  <c r="H58" i="2"/>
  <c r="G58" i="2"/>
  <c r="F58" i="2"/>
  <c r="E58" i="2"/>
  <c r="H57" i="2"/>
  <c r="G57" i="2"/>
  <c r="F57" i="2"/>
  <c r="E57" i="2"/>
  <c r="H56" i="2"/>
  <c r="G56" i="2"/>
  <c r="F56" i="2"/>
  <c r="E56" i="2"/>
  <c r="H55" i="2"/>
  <c r="G55" i="2"/>
  <c r="F55" i="2"/>
  <c r="E55" i="2"/>
  <c r="H54" i="2"/>
  <c r="G54" i="2"/>
  <c r="F54" i="2"/>
  <c r="E54" i="2"/>
  <c r="H53" i="2"/>
  <c r="G53" i="2"/>
  <c r="F53" i="2"/>
  <c r="E53" i="2"/>
  <c r="H52" i="2"/>
  <c r="G52" i="2"/>
  <c r="F52" i="2"/>
  <c r="E52" i="2"/>
  <c r="H51" i="2"/>
  <c r="G51" i="2"/>
  <c r="F51" i="2"/>
  <c r="E51" i="2"/>
  <c r="H50" i="2"/>
  <c r="G50" i="2"/>
  <c r="F50" i="2"/>
  <c r="E50" i="2"/>
  <c r="H49" i="2"/>
  <c r="G49" i="2"/>
  <c r="F49" i="2"/>
  <c r="E49" i="2"/>
  <c r="B2" i="3" s="1"/>
  <c r="H48" i="2"/>
  <c r="G48" i="2"/>
  <c r="F48" i="2"/>
  <c r="E48" i="2"/>
  <c r="B4" i="3" s="1"/>
  <c r="H47" i="2"/>
  <c r="G47" i="2"/>
  <c r="F47" i="2"/>
  <c r="E47" i="2"/>
  <c r="B12" i="3" s="1"/>
  <c r="H46" i="2"/>
  <c r="G46" i="2"/>
  <c r="F46" i="2"/>
  <c r="E46" i="2"/>
  <c r="H45" i="2"/>
  <c r="G45" i="2"/>
  <c r="F45" i="2"/>
  <c r="E45" i="2"/>
  <c r="H44" i="2"/>
  <c r="G44" i="2"/>
  <c r="F44" i="2"/>
  <c r="E44" i="2"/>
  <c r="H43" i="2"/>
  <c r="G43" i="2"/>
  <c r="F43" i="2"/>
  <c r="E43" i="2"/>
  <c r="H42" i="2"/>
  <c r="G42" i="2"/>
  <c r="F42" i="2"/>
  <c r="E42" i="2"/>
  <c r="H41" i="2"/>
  <c r="G41" i="2"/>
  <c r="F41" i="2"/>
  <c r="E41" i="2"/>
  <c r="H40" i="2"/>
  <c r="G40" i="2"/>
  <c r="F40" i="2"/>
  <c r="E40" i="2"/>
  <c r="H39" i="2"/>
  <c r="G39" i="2"/>
  <c r="F39" i="2"/>
  <c r="E39" i="2"/>
  <c r="H38" i="2"/>
  <c r="G38" i="2"/>
  <c r="F38" i="2"/>
  <c r="E38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B6" i="3" s="1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6" i="2"/>
  <c r="G16" i="2"/>
  <c r="F16" i="2"/>
  <c r="E16" i="2"/>
  <c r="H15" i="2"/>
  <c r="G15" i="2"/>
  <c r="F15" i="2"/>
  <c r="E15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H5" i="2"/>
  <c r="G5" i="2"/>
  <c r="F5" i="2"/>
  <c r="E5" i="2"/>
  <c r="H4" i="2"/>
  <c r="G4" i="2"/>
  <c r="F4" i="2"/>
  <c r="E4" i="2"/>
  <c r="H3" i="2"/>
  <c r="G3" i="2"/>
  <c r="F3" i="2"/>
  <c r="E3" i="2"/>
  <c r="H2" i="2"/>
  <c r="G2" i="2"/>
  <c r="F2" i="2"/>
  <c r="E2" i="2"/>
  <c r="B3" i="3" l="1"/>
</calcChain>
</file>

<file path=xl/sharedStrings.xml><?xml version="1.0" encoding="utf-8"?>
<sst xmlns="http://schemas.openxmlformats.org/spreadsheetml/2006/main" count="2867" uniqueCount="43">
  <si>
    <t>Benchmark: build/tree_benchmark, compiled with g++ 13.3.0 -std=c++20 -O2 -DNDEBUG</t>
  </si>
  <si>
    <t>Machine: Liang Zhou's laptop, Ubuntu 24.04 (WSL), pinned with taskset -c 2</t>
  </si>
  <si>
    <t>Source: results_o2/run_1.txt to run_11.txt (nanobench output, parsed unchanged)</t>
  </si>
  <si>
    <t>Median sheet: MEDIAN of ns/op over the 11 run sheets (formulas)</t>
  </si>
  <si>
    <t>Ratios sheet: computed from the Median sheet at n = 262144 (2^18)</t>
  </si>
  <si>
    <t>Unstable = nanobench flagged the row (err% high); insert/erase rows time one pass of n keys, so they are noisier</t>
  </si>
  <si>
    <t>Operation</t>
  </si>
  <si>
    <t>Structure</t>
  </si>
  <si>
    <t>Order</t>
  </si>
  <si>
    <t>n</t>
  </si>
  <si>
    <t>Median ns/op</t>
  </si>
  <si>
    <t>Min ns/op</t>
  </si>
  <si>
    <t>Max ns/op</t>
  </si>
  <si>
    <t>Unstable runs</t>
  </si>
  <si>
    <t>find</t>
  </si>
  <si>
    <t>map</t>
  </si>
  <si>
    <t>sorted</t>
  </si>
  <si>
    <t>random</t>
  </si>
  <si>
    <t>rb</t>
  </si>
  <si>
    <t>avl</t>
  </si>
  <si>
    <t>insert</t>
  </si>
  <si>
    <t>erase</t>
  </si>
  <si>
    <t>AVL/RB time ratio at n = 262144 (above 1 = AVL slower)</t>
  </si>
  <si>
    <t>Random insertion</t>
  </si>
  <si>
    <t>Random deletion</t>
  </si>
  <si>
    <t>Sorted insertion</t>
  </si>
  <si>
    <t>Sorted deletion</t>
  </si>
  <si>
    <t>Random find</t>
  </si>
  <si>
    <t>Sorted find</t>
  </si>
  <si>
    <t>Sorted-to-random speed ratio at n = 262144 (random time / sorted time; compare Brown Table 4)</t>
  </si>
  <si>
    <t>AVL insertion</t>
  </si>
  <si>
    <t>AVL deletion</t>
  </si>
  <si>
    <t>RB insertion</t>
  </si>
  <si>
    <t>RB deletion</t>
  </si>
  <si>
    <t>ns/op</t>
  </si>
  <si>
    <t>ops/s</t>
  </si>
  <si>
    <t>Err %</t>
  </si>
  <si>
    <t>Total (s)</t>
  </si>
  <si>
    <t>Unstable</t>
  </si>
  <si>
    <t>Yes</t>
  </si>
  <si>
    <t>AVL</t>
  </si>
  <si>
    <t>Red Black</t>
  </si>
  <si>
    <t>MapBaseLine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</si>
</sst>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2" fontId="1" fillId="0" borderId="0" xfId="0" applyNumberFormat="1" applyFont="1"/>
    <xf numFmtId="0" fontId="2" fillId="0" borderId="0" xfId="0" applyFont="1"/>
    <xf numFmtId="3" fontId="1" fillId="0" borderId="0" xfId="0" applyNumberFormat="1" applyFont="1"/>
    <xf numFmtId="164" fontId="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Sorted Search Runtime vs Input Size (-O2)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'Runtime Charts'!$B$1</c:f>
              <c:strCache>
                <c:ptCount val="1"/>
                <c:pt idx="0">
                  <c:v>AVL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'Runtime Charts'!$A$2:$A$5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Charts'!$B$2:$B$5</c:f>
              <c:numCache>
                <c:formatCode>General</c:formatCode>
                <c:ptCount val="4"/>
                <c:pt idx="0">
                  <c:v>9.65</c:v>
                </c:pt>
                <c:pt idx="1">
                  <c:v>18.18</c:v>
                </c:pt>
                <c:pt idx="2">
                  <c:v>26.59</c:v>
                </c:pt>
                <c:pt idx="3">
                  <c:v>49.25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04-438A-888E-86D2007FD5A3}"/>
            </c:ext>
          </c:extLst>
        </c:ser>
        <c:ser>
          <c:idx val="2"/>
          <c:order val="1"/>
          <c:tx>
            <c:strRef>
              <c:f>'Runtime Charts'!$C$1</c:f>
              <c:strCache>
                <c:ptCount val="1"/>
                <c:pt idx="0">
                  <c:v>Red Black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'Runtime Charts'!$A$2:$A$5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Charts'!$C$2:$C$5</c:f>
              <c:numCache>
                <c:formatCode>General</c:formatCode>
                <c:ptCount val="4"/>
                <c:pt idx="0">
                  <c:v>14.16</c:v>
                </c:pt>
                <c:pt idx="1">
                  <c:v>26.8</c:v>
                </c:pt>
                <c:pt idx="2">
                  <c:v>40.479999999999997</c:v>
                </c:pt>
                <c:pt idx="3">
                  <c:v>78.5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4-438A-888E-86D2007FD5A3}"/>
            </c:ext>
          </c:extLst>
        </c:ser>
        <c:ser>
          <c:idx val="3"/>
          <c:order val="2"/>
          <c:tx>
            <c:strRef>
              <c:f>'Runtime Charts'!$D$1</c:f>
              <c:strCache>
                <c:ptCount val="1"/>
                <c:pt idx="0">
                  <c:v>MapBaseLine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'Runtime Charts'!$A$2:$A$5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Charts'!$D$2:$D$5</c:f>
              <c:numCache>
                <c:formatCode>General</c:formatCode>
                <c:ptCount val="4"/>
                <c:pt idx="0">
                  <c:v>47.04</c:v>
                </c:pt>
                <c:pt idx="1">
                  <c:v>66.790000000000006</c:v>
                </c:pt>
                <c:pt idx="2">
                  <c:v>100.09</c:v>
                </c:pt>
                <c:pt idx="3">
                  <c:v>183.11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04-438A-888E-86D2007FD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7810447"/>
        <c:axId val="637811695"/>
      </c:lineChart>
      <c:catAx>
        <c:axId val="637810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keys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11695"/>
        <c:crosses val="autoZero"/>
        <c:auto val="1"/>
        <c:lblAlgn val="ctr"/>
        <c:lblOffset val="100"/>
        <c:noMultiLvlLbl val="0"/>
      </c:catAx>
      <c:valAx>
        <c:axId val="63781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Time (ns/op)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1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Search Runtime vs Input Size (-O2)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'Runtime Charts'!$K$1</c:f>
              <c:strCache>
                <c:ptCount val="1"/>
                <c:pt idx="0">
                  <c:v>AVL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'Runtime Charts'!$J$2:$J$5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Charts'!$K$2:$K$5</c:f>
              <c:numCache>
                <c:formatCode>General</c:formatCode>
                <c:ptCount val="4"/>
                <c:pt idx="0">
                  <c:v>11.74</c:v>
                </c:pt>
                <c:pt idx="1">
                  <c:v>21.43</c:v>
                </c:pt>
                <c:pt idx="2">
                  <c:v>29.97</c:v>
                </c:pt>
                <c:pt idx="3">
                  <c:v>51.48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35-466A-B9BA-30DE73664EC4}"/>
            </c:ext>
          </c:extLst>
        </c:ser>
        <c:ser>
          <c:idx val="3"/>
          <c:order val="1"/>
          <c:tx>
            <c:strRef>
              <c:f>'Runtime Charts'!$L$1</c:f>
              <c:strCache>
                <c:ptCount val="1"/>
                <c:pt idx="0">
                  <c:v>Red Black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'Runtime Charts'!$J$2:$J$5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Charts'!$L$2:$L$5</c:f>
              <c:numCache>
                <c:formatCode>General</c:formatCode>
                <c:ptCount val="4"/>
                <c:pt idx="0">
                  <c:v>12.95</c:v>
                </c:pt>
                <c:pt idx="1">
                  <c:v>24.21</c:v>
                </c:pt>
                <c:pt idx="2">
                  <c:v>36.619999999999997</c:v>
                </c:pt>
                <c:pt idx="3">
                  <c:v>73.819999999999993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35-466A-B9BA-30DE73664EC4}"/>
            </c:ext>
          </c:extLst>
        </c:ser>
        <c:ser>
          <c:idx val="0"/>
          <c:order val="2"/>
          <c:tx>
            <c:strRef>
              <c:f>'Runtime Charts'!$M$1</c:f>
              <c:strCache>
                <c:ptCount val="1"/>
                <c:pt idx="0">
                  <c:v>MapBaseLine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'Runtime Charts'!$J$2:$J$5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Charts'!$M$2:$M$5</c:f>
              <c:numCache>
                <c:formatCode>General</c:formatCode>
                <c:ptCount val="4"/>
                <c:pt idx="0">
                  <c:v>41.12</c:v>
                </c:pt>
                <c:pt idx="1">
                  <c:v>59.57</c:v>
                </c:pt>
                <c:pt idx="2">
                  <c:v>95.45</c:v>
                </c:pt>
                <c:pt idx="3">
                  <c:v>180.33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35-466A-B9BA-30DE73664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982959"/>
        <c:axId val="830986703"/>
      </c:lineChart>
      <c:catAx>
        <c:axId val="830982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keys (n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86703"/>
        <c:crosses val="autoZero"/>
        <c:auto val="1"/>
        <c:lblAlgn val="ctr"/>
        <c:lblOffset val="100"/>
        <c:noMultiLvlLbl val="0"/>
      </c:catAx>
      <c:valAx>
        <c:axId val="83098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Time (ns/op)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8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Sorted Insertion Runtime vs Input Size (-O2)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'Runtime Charts'!$B$25</c:f>
              <c:strCache>
                <c:ptCount val="1"/>
                <c:pt idx="0">
                  <c:v>AVL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'Runtime Charts'!$A$26:$A$29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Charts'!$B$26:$B$29</c:f>
              <c:numCache>
                <c:formatCode>General</c:formatCode>
                <c:ptCount val="4"/>
                <c:pt idx="0">
                  <c:v>25.27</c:v>
                </c:pt>
                <c:pt idx="1">
                  <c:v>30.03</c:v>
                </c:pt>
                <c:pt idx="2">
                  <c:v>33.54</c:v>
                </c:pt>
                <c:pt idx="3">
                  <c:v>43.99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39-45C0-B5A4-68647376244A}"/>
            </c:ext>
          </c:extLst>
        </c:ser>
        <c:ser>
          <c:idx val="2"/>
          <c:order val="1"/>
          <c:tx>
            <c:strRef>
              <c:f>'Runtime Charts'!$C$25</c:f>
              <c:strCache>
                <c:ptCount val="1"/>
                <c:pt idx="0">
                  <c:v>Red Black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'Runtime Charts'!$A$26:$A$29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Charts'!$C$26:$C$29</c:f>
              <c:numCache>
                <c:formatCode>General</c:formatCode>
                <c:ptCount val="4"/>
                <c:pt idx="0">
                  <c:v>22.82</c:v>
                </c:pt>
                <c:pt idx="1">
                  <c:v>29.15</c:v>
                </c:pt>
                <c:pt idx="2">
                  <c:v>60.8</c:v>
                </c:pt>
                <c:pt idx="3">
                  <c:v>83.27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39-45C0-B5A4-68647376244A}"/>
            </c:ext>
          </c:extLst>
        </c:ser>
        <c:ser>
          <c:idx val="3"/>
          <c:order val="2"/>
          <c:tx>
            <c:strRef>
              <c:f>'Runtime Charts'!$D$25</c:f>
              <c:strCache>
                <c:ptCount val="1"/>
                <c:pt idx="0">
                  <c:v>MapBaseLine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'Runtime Charts'!$A$26:$A$29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Charts'!$D$26:$D$29</c:f>
              <c:numCache>
                <c:formatCode>General</c:formatCode>
                <c:ptCount val="4"/>
                <c:pt idx="0">
                  <c:v>19.559999999999999</c:v>
                </c:pt>
                <c:pt idx="1">
                  <c:v>23.64</c:v>
                </c:pt>
                <c:pt idx="2">
                  <c:v>57.76</c:v>
                </c:pt>
                <c:pt idx="3">
                  <c:v>76.77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39-45C0-B5A4-686473762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159855"/>
        <c:axId val="623166095"/>
      </c:lineChart>
      <c:catAx>
        <c:axId val="62315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keys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66095"/>
        <c:crosses val="autoZero"/>
        <c:auto val="1"/>
        <c:lblAlgn val="ctr"/>
        <c:lblOffset val="100"/>
        <c:noMultiLvlLbl val="0"/>
      </c:catAx>
      <c:valAx>
        <c:axId val="6231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Time (ns/op)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5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Insertion Runtime vs Input Size (-O2)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'Runtime Charts'!$K$25</c:f>
              <c:strCache>
                <c:ptCount val="1"/>
                <c:pt idx="0">
                  <c:v>AVL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'Runtime Charts'!$J$26:$J$29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Charts'!$K$26:$K$29</c:f>
              <c:numCache>
                <c:formatCode>General</c:formatCode>
                <c:ptCount val="4"/>
                <c:pt idx="0">
                  <c:v>60.77</c:v>
                </c:pt>
                <c:pt idx="1">
                  <c:v>78.87</c:v>
                </c:pt>
                <c:pt idx="2">
                  <c:v>119.48</c:v>
                </c:pt>
                <c:pt idx="3">
                  <c:v>189.16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69-4D53-B4E3-DED5D3380041}"/>
            </c:ext>
          </c:extLst>
        </c:ser>
        <c:ser>
          <c:idx val="2"/>
          <c:order val="1"/>
          <c:tx>
            <c:strRef>
              <c:f>'Runtime Charts'!$L$25</c:f>
              <c:strCache>
                <c:ptCount val="1"/>
                <c:pt idx="0">
                  <c:v>Red Black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'Runtime Charts'!$J$26:$J$29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Charts'!$L$26:$L$29</c:f>
              <c:numCache>
                <c:formatCode>General</c:formatCode>
                <c:ptCount val="4"/>
                <c:pt idx="0">
                  <c:v>37.32</c:v>
                </c:pt>
                <c:pt idx="1">
                  <c:v>57.9</c:v>
                </c:pt>
                <c:pt idx="2">
                  <c:v>102</c:v>
                </c:pt>
                <c:pt idx="3">
                  <c:v>190.87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69-4D53-B4E3-DED5D3380041}"/>
            </c:ext>
          </c:extLst>
        </c:ser>
        <c:ser>
          <c:idx val="3"/>
          <c:order val="2"/>
          <c:tx>
            <c:strRef>
              <c:f>'Runtime Charts'!$M$25</c:f>
              <c:strCache>
                <c:ptCount val="1"/>
                <c:pt idx="0">
                  <c:v>MapBaseLine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'Runtime Charts'!$J$26:$J$29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Charts'!$M$26:$M$29</c:f>
              <c:numCache>
                <c:formatCode>General</c:formatCode>
                <c:ptCount val="4"/>
                <c:pt idx="0">
                  <c:v>55.58</c:v>
                </c:pt>
                <c:pt idx="1">
                  <c:v>70.349999999999994</c:v>
                </c:pt>
                <c:pt idx="2">
                  <c:v>94.51</c:v>
                </c:pt>
                <c:pt idx="3">
                  <c:v>149.69999999999999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69-4D53-B4E3-DED5D3380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004191"/>
        <c:axId val="753020831"/>
      </c:lineChart>
      <c:catAx>
        <c:axId val="753004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keys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020831"/>
        <c:crosses val="autoZero"/>
        <c:auto val="1"/>
        <c:lblAlgn val="ctr"/>
        <c:lblOffset val="100"/>
        <c:noMultiLvlLbl val="0"/>
      </c:catAx>
      <c:valAx>
        <c:axId val="75302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Time (ns/op)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00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Sorted Deletion Runtime vs Input Size (-O2)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'Runtime Charts'!$B$49</c:f>
              <c:strCache>
                <c:ptCount val="1"/>
                <c:pt idx="0">
                  <c:v>AVL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'Runtime Charts'!$A$50:$A$53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Charts'!$B$50:$B$53</c:f>
              <c:numCache>
                <c:formatCode>General</c:formatCode>
                <c:ptCount val="4"/>
                <c:pt idx="0">
                  <c:v>19.93</c:v>
                </c:pt>
                <c:pt idx="1">
                  <c:v>23.73</c:v>
                </c:pt>
                <c:pt idx="2">
                  <c:v>28.05</c:v>
                </c:pt>
                <c:pt idx="3">
                  <c:v>32.630000000000003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E7-4466-BE09-B4DE8071E19C}"/>
            </c:ext>
          </c:extLst>
        </c:ser>
        <c:ser>
          <c:idx val="2"/>
          <c:order val="1"/>
          <c:tx>
            <c:strRef>
              <c:f>'Runtime Charts'!$C$49</c:f>
              <c:strCache>
                <c:ptCount val="1"/>
                <c:pt idx="0">
                  <c:v>Red Black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'Runtime Charts'!$A$50:$A$53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Charts'!$C$50:$C$53</c:f>
              <c:numCache>
                <c:formatCode>General</c:formatCode>
                <c:ptCount val="4"/>
                <c:pt idx="0">
                  <c:v>14.8</c:v>
                </c:pt>
                <c:pt idx="1">
                  <c:v>17.18</c:v>
                </c:pt>
                <c:pt idx="2">
                  <c:v>33.44</c:v>
                </c:pt>
                <c:pt idx="3">
                  <c:v>39.729999999999997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E7-4466-BE09-B4DE8071E19C}"/>
            </c:ext>
          </c:extLst>
        </c:ser>
        <c:ser>
          <c:idx val="3"/>
          <c:order val="2"/>
          <c:tx>
            <c:strRef>
              <c:f>'Runtime Charts'!$D$49</c:f>
              <c:strCache>
                <c:ptCount val="1"/>
                <c:pt idx="0">
                  <c:v>MapBaseLine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'Runtime Charts'!$A$50:$A$53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Charts'!$D$50:$D$53</c:f>
              <c:numCache>
                <c:formatCode>General</c:formatCode>
                <c:ptCount val="4"/>
                <c:pt idx="0">
                  <c:v>17.14</c:v>
                </c:pt>
                <c:pt idx="1">
                  <c:v>18.850000000000001</c:v>
                </c:pt>
                <c:pt idx="2">
                  <c:v>19.62</c:v>
                </c:pt>
                <c:pt idx="3">
                  <c:v>25.99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E7-4466-BE09-B4DE8071E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874159"/>
        <c:axId val="1233860847"/>
      </c:lineChart>
      <c:catAx>
        <c:axId val="1233874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keys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860847"/>
        <c:crosses val="autoZero"/>
        <c:auto val="1"/>
        <c:lblAlgn val="ctr"/>
        <c:lblOffset val="100"/>
        <c:noMultiLvlLbl val="0"/>
      </c:catAx>
      <c:valAx>
        <c:axId val="123386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Time (ns/op)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87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Deletion Runtime vs Input Size (-O2)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'Runtime Charts'!$K$49</c:f>
              <c:strCache>
                <c:ptCount val="1"/>
                <c:pt idx="0">
                  <c:v>AVL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'Runtime Charts'!$J$50:$J$53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Charts'!$K$50:$K$53</c:f>
              <c:numCache>
                <c:formatCode>General</c:formatCode>
                <c:ptCount val="4"/>
                <c:pt idx="0">
                  <c:v>62.55</c:v>
                </c:pt>
                <c:pt idx="1">
                  <c:v>81.099999999999994</c:v>
                </c:pt>
                <c:pt idx="2">
                  <c:v>125.8</c:v>
                </c:pt>
                <c:pt idx="3">
                  <c:v>212.49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3-4D0D-9004-E8AE57B97CFC}"/>
            </c:ext>
          </c:extLst>
        </c:ser>
        <c:ser>
          <c:idx val="2"/>
          <c:order val="1"/>
          <c:tx>
            <c:strRef>
              <c:f>'Runtime Charts'!$L$49</c:f>
              <c:strCache>
                <c:ptCount val="1"/>
                <c:pt idx="0">
                  <c:v>Red Black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'Runtime Charts'!$J$50:$J$53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Charts'!$L$50:$L$53</c:f>
              <c:numCache>
                <c:formatCode>General</c:formatCode>
                <c:ptCount val="4"/>
                <c:pt idx="0">
                  <c:v>38.549999999999997</c:v>
                </c:pt>
                <c:pt idx="1">
                  <c:v>54.18</c:v>
                </c:pt>
                <c:pt idx="2">
                  <c:v>96.64</c:v>
                </c:pt>
                <c:pt idx="3">
                  <c:v>175.54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3-4D0D-9004-E8AE57B97CFC}"/>
            </c:ext>
          </c:extLst>
        </c:ser>
        <c:ser>
          <c:idx val="3"/>
          <c:order val="2"/>
          <c:tx>
            <c:strRef>
              <c:f>'Runtime Charts'!$M$49</c:f>
              <c:strCache>
                <c:ptCount val="1"/>
                <c:pt idx="0">
                  <c:v>MapBaseLine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'Runtime Charts'!$J$50:$J$53</c:f>
              <c:numCache>
                <c:formatCode>General</c:formatCode>
                <c:ptCount val="4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</c:numCache>
            </c:numRef>
          </c:cat>
          <c:val>
            <c:numRef>
              <c:f>'Runtime Charts'!$M$50:$M$53</c:f>
              <c:numCache>
                <c:formatCode>General</c:formatCode>
                <c:ptCount val="4"/>
                <c:pt idx="0">
                  <c:v>58.95</c:v>
                </c:pt>
                <c:pt idx="1">
                  <c:v>82.23</c:v>
                </c:pt>
                <c:pt idx="2">
                  <c:v>122.61</c:v>
                </c:pt>
                <c:pt idx="3">
                  <c:v>206.6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63-4D0D-9004-E8AE57B97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941087"/>
        <c:axId val="828940255"/>
      </c:lineChart>
      <c:catAx>
        <c:axId val="82894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keys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40255"/>
        <c:crosses val="autoZero"/>
        <c:auto val="1"/>
        <c:lblAlgn val="ctr"/>
        <c:lblOffset val="100"/>
        <c:noMultiLvlLbl val="0"/>
      </c:catAx>
      <c:valAx>
        <c:axId val="82894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Time (ns/op)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4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179070</xdr:rowOff>
    </xdr:from>
    <xdr:to>
      <xdr:col>6</xdr:col>
      <xdr:colOff>365760</xdr:colOff>
      <xdr:row>20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DF8590-B2B6-4F8A-9471-6BED4292D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422910</xdr:colOff>
      <xdr:row>6</xdr:row>
      <xdr:rowOff>3810</xdr:rowOff>
    </xdr:from>
    <xdr:to>
      <xdr:col>15</xdr:col>
      <xdr:colOff>64770</xdr:colOff>
      <xdr:row>21</xdr:row>
      <xdr:rowOff>3810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1A7555-9A3B-4B08-BE1D-BFB8BEB7B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30</xdr:row>
      <xdr:rowOff>3810</xdr:rowOff>
    </xdr:from>
    <xdr:to>
      <xdr:col>6</xdr:col>
      <xdr:colOff>381000</xdr:colOff>
      <xdr:row>45</xdr:row>
      <xdr:rowOff>3810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10028DD-8648-48E1-B178-AA3BFB0C3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</xdr:colOff>
      <xdr:row>30</xdr:row>
      <xdr:rowOff>3810</xdr:rowOff>
    </xdr:from>
    <xdr:to>
      <xdr:col>15</xdr:col>
      <xdr:colOff>259080</xdr:colOff>
      <xdr:row>45</xdr:row>
      <xdr:rowOff>3810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18AF09F-9524-4B8D-88AC-9648627F1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53</xdr:row>
      <xdr:rowOff>179070</xdr:rowOff>
    </xdr:from>
    <xdr:to>
      <xdr:col>6</xdr:col>
      <xdr:colOff>365760</xdr:colOff>
      <xdr:row>68</xdr:row>
      <xdr:rowOff>179070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34E38D-EE87-4C14-B4B5-76CF2F225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419100</xdr:colOff>
      <xdr:row>53</xdr:row>
      <xdr:rowOff>179070</xdr:rowOff>
    </xdr:from>
    <xdr:to>
      <xdr:col>15</xdr:col>
      <xdr:colOff>243840</xdr:colOff>
      <xdr:row>68</xdr:row>
      <xdr:rowOff>179070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A4C1BFB-017B-4E78-8F10-00FD62448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zoomScaleNormal="100" workbookViewId="0">
      <selection activeCell="A5" sqref="A5"/>
    </sheetView>
  </sheetViews>
  <sheetFormatPr defaultColWidth="8.6640625" defaultRowHeight="14.4" x14ac:dyDescent="0.3"/>
  <cols>
    <col min="1" max="1" width="110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3"/>
  <sheetViews>
    <sheetView zoomScaleNormal="100" workbookViewId="0">
      <pane ySplit="1" topLeftCell="A2" activePane="bottomLeft" state="frozen"/>
      <selection pane="bottomLeft" activeCell="E6" sqref="E6"/>
    </sheetView>
  </sheetViews>
  <sheetFormatPr defaultColWidth="8.6640625" defaultRowHeight="14.4" x14ac:dyDescent="0.3"/>
  <cols>
    <col min="1" max="2" width="10" customWidth="1"/>
    <col min="3" max="3" width="12.77734375" customWidth="1"/>
    <col min="4" max="4" width="9" customWidth="1"/>
    <col min="5" max="5" width="20.6640625" customWidth="1"/>
    <col min="6" max="7" width="11" customWidth="1"/>
    <col min="8" max="8" width="13" customWidth="1"/>
  </cols>
  <sheetData>
    <row r="1" spans="1:8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x14ac:dyDescent="0.3">
      <c r="A2" s="1" t="s">
        <v>14</v>
      </c>
      <c r="B2" s="1" t="s">
        <v>15</v>
      </c>
      <c r="C2" s="1" t="s">
        <v>16</v>
      </c>
      <c r="D2" s="1">
        <v>4096</v>
      </c>
      <c r="E2" s="3">
        <f>MEDIAN('Run 1'!E2,'Run 2'!E2,'Run 3'!E2,'Run 4'!E2,'Run 5'!E2,'Run 6'!E2,'Run 7'!E2,'Run 8'!E2,'Run 9'!E2,'Run 10'!E2,'Run 11'!E2)</f>
        <v>47.04</v>
      </c>
      <c r="F2" s="3">
        <f>MIN('Run 1'!E2,'Run 2'!E2,'Run 3'!E2,'Run 4'!E2,'Run 5'!E2,'Run 6'!E2,'Run 7'!E2,'Run 8'!E2,'Run 9'!E2,'Run 10'!E2,'Run 11'!E2)</f>
        <v>45.89</v>
      </c>
      <c r="G2" s="3">
        <f>MAX('Run 1'!E2,'Run 2'!E2,'Run 3'!E2,'Run 4'!E2,'Run 5'!E2,'Run 6'!E2,'Run 7'!E2,'Run 8'!E2,'Run 9'!E2,'Run 10'!E2,'Run 11'!E2)</f>
        <v>48.92</v>
      </c>
      <c r="H2" s="1">
        <f>COUNTIF('Run 1'!I2,"Yes")+COUNTIF('Run 2'!I2,"Yes")+COUNTIF('Run 3'!I2,"Yes")+COUNTIF('Run 4'!I2,"Yes")+COUNTIF('Run 5'!I2,"Yes")+COUNTIF('Run 6'!I2,"Yes")+COUNTIF('Run 7'!I2,"Yes")+COUNTIF('Run 8'!I2,"Yes")+COUNTIF('Run 9'!I2,"Yes")+COUNTIF('Run 10'!I2,"Yes")+COUNTIF('Run 11'!I2,"Yes")</f>
        <v>0</v>
      </c>
    </row>
    <row r="3" spans="1:8" x14ac:dyDescent="0.3">
      <c r="A3" s="1" t="s">
        <v>14</v>
      </c>
      <c r="B3" s="1" t="s">
        <v>15</v>
      </c>
      <c r="C3" s="1" t="s">
        <v>17</v>
      </c>
      <c r="D3" s="1">
        <v>4096</v>
      </c>
      <c r="E3" s="3">
        <f>MEDIAN('Run 1'!E3,'Run 2'!E3,'Run 3'!E3,'Run 4'!E3,'Run 5'!E3,'Run 6'!E3,'Run 7'!E3,'Run 8'!E3,'Run 9'!E3,'Run 10'!E3,'Run 11'!E3)</f>
        <v>41.12</v>
      </c>
      <c r="F3" s="3">
        <f>MIN('Run 1'!E3,'Run 2'!E3,'Run 3'!E3,'Run 4'!E3,'Run 5'!E3,'Run 6'!E3,'Run 7'!E3,'Run 8'!E3,'Run 9'!E3,'Run 10'!E3,'Run 11'!E3)</f>
        <v>40.270000000000003</v>
      </c>
      <c r="G3" s="3">
        <f>MAX('Run 1'!E3,'Run 2'!E3,'Run 3'!E3,'Run 4'!E3,'Run 5'!E3,'Run 6'!E3,'Run 7'!E3,'Run 8'!E3,'Run 9'!E3,'Run 10'!E3,'Run 11'!E3)</f>
        <v>41.84</v>
      </c>
      <c r="H3" s="1">
        <f>COUNTIF('Run 1'!I3,"Yes")+COUNTIF('Run 2'!I3,"Yes")+COUNTIF('Run 3'!I3,"Yes")+COUNTIF('Run 4'!I3,"Yes")+COUNTIF('Run 5'!I3,"Yes")+COUNTIF('Run 6'!I3,"Yes")+COUNTIF('Run 7'!I3,"Yes")+COUNTIF('Run 8'!I3,"Yes")+COUNTIF('Run 9'!I3,"Yes")+COUNTIF('Run 10'!I3,"Yes")+COUNTIF('Run 11'!I3,"Yes")</f>
        <v>0</v>
      </c>
    </row>
    <row r="4" spans="1:8" x14ac:dyDescent="0.3">
      <c r="A4" s="1" t="s">
        <v>14</v>
      </c>
      <c r="B4" s="1" t="s">
        <v>18</v>
      </c>
      <c r="C4" s="1" t="s">
        <v>16</v>
      </c>
      <c r="D4" s="1">
        <v>4096</v>
      </c>
      <c r="E4" s="3">
        <f>MEDIAN('Run 1'!E4,'Run 2'!E4,'Run 3'!E4,'Run 4'!E4,'Run 5'!E4,'Run 6'!E4,'Run 7'!E4,'Run 8'!E4,'Run 9'!E4,'Run 10'!E4,'Run 11'!E4)</f>
        <v>14.16</v>
      </c>
      <c r="F4" s="3">
        <f>MIN('Run 1'!E4,'Run 2'!E4,'Run 3'!E4,'Run 4'!E4,'Run 5'!E4,'Run 6'!E4,'Run 7'!E4,'Run 8'!E4,'Run 9'!E4,'Run 10'!E4,'Run 11'!E4)</f>
        <v>13.03</v>
      </c>
      <c r="G4" s="3">
        <f>MAX('Run 1'!E4,'Run 2'!E4,'Run 3'!E4,'Run 4'!E4,'Run 5'!E4,'Run 6'!E4,'Run 7'!E4,'Run 8'!E4,'Run 9'!E4,'Run 10'!E4,'Run 11'!E4)</f>
        <v>14.86</v>
      </c>
      <c r="H4" s="1">
        <f>COUNTIF('Run 1'!I4,"Yes")+COUNTIF('Run 2'!I4,"Yes")+COUNTIF('Run 3'!I4,"Yes")+COUNTIF('Run 4'!I4,"Yes")+COUNTIF('Run 5'!I4,"Yes")+COUNTIF('Run 6'!I4,"Yes")+COUNTIF('Run 7'!I4,"Yes")+COUNTIF('Run 8'!I4,"Yes")+COUNTIF('Run 9'!I4,"Yes")+COUNTIF('Run 10'!I4,"Yes")+COUNTIF('Run 11'!I4,"Yes")</f>
        <v>1</v>
      </c>
    </row>
    <row r="5" spans="1:8" x14ac:dyDescent="0.3">
      <c r="A5" s="1" t="s">
        <v>14</v>
      </c>
      <c r="B5" s="1" t="s">
        <v>18</v>
      </c>
      <c r="C5" s="1" t="s">
        <v>17</v>
      </c>
      <c r="D5" s="1">
        <v>4096</v>
      </c>
      <c r="E5" s="3">
        <f>MEDIAN('Run 1'!E5,'Run 2'!E5,'Run 3'!E5,'Run 4'!E5,'Run 5'!E5,'Run 6'!E5,'Run 7'!E5,'Run 8'!E5,'Run 9'!E5,'Run 10'!E5,'Run 11'!E5)</f>
        <v>12.95</v>
      </c>
      <c r="F5" s="3">
        <f>MIN('Run 1'!E5,'Run 2'!E5,'Run 3'!E5,'Run 4'!E5,'Run 5'!E5,'Run 6'!E5,'Run 7'!E5,'Run 8'!E5,'Run 9'!E5,'Run 10'!E5,'Run 11'!E5)</f>
        <v>11.47</v>
      </c>
      <c r="G5" s="3">
        <f>MAX('Run 1'!E5,'Run 2'!E5,'Run 3'!E5,'Run 4'!E5,'Run 5'!E5,'Run 6'!E5,'Run 7'!E5,'Run 8'!E5,'Run 9'!E5,'Run 10'!E5,'Run 11'!E5)</f>
        <v>13.66</v>
      </c>
      <c r="H5" s="1">
        <f>COUNTIF('Run 1'!I5,"Yes")+COUNTIF('Run 2'!I5,"Yes")+COUNTIF('Run 3'!I5,"Yes")+COUNTIF('Run 4'!I5,"Yes")+COUNTIF('Run 5'!I5,"Yes")+COUNTIF('Run 6'!I5,"Yes")+COUNTIF('Run 7'!I5,"Yes")+COUNTIF('Run 8'!I5,"Yes")+COUNTIF('Run 9'!I5,"Yes")+COUNTIF('Run 10'!I5,"Yes")+COUNTIF('Run 11'!I5,"Yes")</f>
        <v>0</v>
      </c>
    </row>
    <row r="6" spans="1:8" x14ac:dyDescent="0.3">
      <c r="A6" s="1" t="s">
        <v>14</v>
      </c>
      <c r="B6" s="1" t="s">
        <v>19</v>
      </c>
      <c r="C6" s="1" t="s">
        <v>16</v>
      </c>
      <c r="D6" s="1">
        <v>4096</v>
      </c>
      <c r="E6" s="3">
        <f>MEDIAN('Run 1'!E6,'Run 2'!E6,'Run 3'!E6,'Run 4'!E6,'Run 5'!E6,'Run 6'!E6,'Run 7'!E6,'Run 8'!E6,'Run 9'!E6,'Run 10'!E6,'Run 11'!E6)</f>
        <v>9.65</v>
      </c>
      <c r="F6" s="3">
        <f>MIN('Run 1'!E6,'Run 2'!E6,'Run 3'!E6,'Run 4'!E6,'Run 5'!E6,'Run 6'!E6,'Run 7'!E6,'Run 8'!E6,'Run 9'!E6,'Run 10'!E6,'Run 11'!E6)</f>
        <v>9.36</v>
      </c>
      <c r="G6" s="3">
        <f>MAX('Run 1'!E6,'Run 2'!E6,'Run 3'!E6,'Run 4'!E6,'Run 5'!E6,'Run 6'!E6,'Run 7'!E6,'Run 8'!E6,'Run 9'!E6,'Run 10'!E6,'Run 11'!E6)</f>
        <v>9.9499999999999993</v>
      </c>
      <c r="H6" s="1">
        <f>COUNTIF('Run 1'!I6,"Yes")+COUNTIF('Run 2'!I6,"Yes")+COUNTIF('Run 3'!I6,"Yes")+COUNTIF('Run 4'!I6,"Yes")+COUNTIF('Run 5'!I6,"Yes")+COUNTIF('Run 6'!I6,"Yes")+COUNTIF('Run 7'!I6,"Yes")+COUNTIF('Run 8'!I6,"Yes")+COUNTIF('Run 9'!I6,"Yes")+COUNTIF('Run 10'!I6,"Yes")+COUNTIF('Run 11'!I6,"Yes")</f>
        <v>0</v>
      </c>
    </row>
    <row r="7" spans="1:8" x14ac:dyDescent="0.3">
      <c r="A7" s="1" t="s">
        <v>14</v>
      </c>
      <c r="B7" s="1" t="s">
        <v>19</v>
      </c>
      <c r="C7" s="1" t="s">
        <v>17</v>
      </c>
      <c r="D7" s="1">
        <v>4096</v>
      </c>
      <c r="E7" s="3">
        <f>MEDIAN('Run 1'!E7,'Run 2'!E7,'Run 3'!E7,'Run 4'!E7,'Run 5'!E7,'Run 6'!E7,'Run 7'!E7,'Run 8'!E7,'Run 9'!E7,'Run 10'!E7,'Run 11'!E7)</f>
        <v>11.74</v>
      </c>
      <c r="F7" s="3">
        <f>MIN('Run 1'!E7,'Run 2'!E7,'Run 3'!E7,'Run 4'!E7,'Run 5'!E7,'Run 6'!E7,'Run 7'!E7,'Run 8'!E7,'Run 9'!E7,'Run 10'!E7,'Run 11'!E7)</f>
        <v>11.24</v>
      </c>
      <c r="G7" s="3">
        <f>MAX('Run 1'!E7,'Run 2'!E7,'Run 3'!E7,'Run 4'!E7,'Run 5'!E7,'Run 6'!E7,'Run 7'!E7,'Run 8'!E7,'Run 9'!E7,'Run 10'!E7,'Run 11'!E7)</f>
        <v>12.13</v>
      </c>
      <c r="H7" s="1">
        <f>COUNTIF('Run 1'!I7,"Yes")+COUNTIF('Run 2'!I7,"Yes")+COUNTIF('Run 3'!I7,"Yes")+COUNTIF('Run 4'!I7,"Yes")+COUNTIF('Run 5'!I7,"Yes")+COUNTIF('Run 6'!I7,"Yes")+COUNTIF('Run 7'!I7,"Yes")+COUNTIF('Run 8'!I7,"Yes")+COUNTIF('Run 9'!I7,"Yes")+COUNTIF('Run 10'!I7,"Yes")+COUNTIF('Run 11'!I7,"Yes")</f>
        <v>0</v>
      </c>
    </row>
    <row r="8" spans="1:8" x14ac:dyDescent="0.3">
      <c r="A8" s="1" t="s">
        <v>14</v>
      </c>
      <c r="B8" s="1" t="s">
        <v>15</v>
      </c>
      <c r="C8" s="1" t="s">
        <v>16</v>
      </c>
      <c r="D8" s="1">
        <v>16384</v>
      </c>
      <c r="E8" s="3">
        <f>MEDIAN('Run 1'!E8,'Run 2'!E8,'Run 3'!E8,'Run 4'!E8,'Run 5'!E8,'Run 6'!E8,'Run 7'!E8,'Run 8'!E8,'Run 9'!E8,'Run 10'!E8,'Run 11'!E8)</f>
        <v>66.790000000000006</v>
      </c>
      <c r="F8" s="3">
        <f>MIN('Run 1'!E8,'Run 2'!E8,'Run 3'!E8,'Run 4'!E8,'Run 5'!E8,'Run 6'!E8,'Run 7'!E8,'Run 8'!E8,'Run 9'!E8,'Run 10'!E8,'Run 11'!E8)</f>
        <v>65.180000000000007</v>
      </c>
      <c r="G8" s="3">
        <f>MAX('Run 1'!E8,'Run 2'!E8,'Run 3'!E8,'Run 4'!E8,'Run 5'!E8,'Run 6'!E8,'Run 7'!E8,'Run 8'!E8,'Run 9'!E8,'Run 10'!E8,'Run 11'!E8)</f>
        <v>67.680000000000007</v>
      </c>
      <c r="H8" s="1">
        <f>COUNTIF('Run 1'!I8,"Yes")+COUNTIF('Run 2'!I8,"Yes")+COUNTIF('Run 3'!I8,"Yes")+COUNTIF('Run 4'!I8,"Yes")+COUNTIF('Run 5'!I8,"Yes")+COUNTIF('Run 6'!I8,"Yes")+COUNTIF('Run 7'!I8,"Yes")+COUNTIF('Run 8'!I8,"Yes")+COUNTIF('Run 9'!I8,"Yes")+COUNTIF('Run 10'!I8,"Yes")+COUNTIF('Run 11'!I8,"Yes")</f>
        <v>0</v>
      </c>
    </row>
    <row r="9" spans="1:8" x14ac:dyDescent="0.3">
      <c r="A9" s="1" t="s">
        <v>14</v>
      </c>
      <c r="B9" s="1" t="s">
        <v>15</v>
      </c>
      <c r="C9" s="1" t="s">
        <v>17</v>
      </c>
      <c r="D9" s="1">
        <v>16384</v>
      </c>
      <c r="E9" s="3">
        <f>MEDIAN('Run 1'!E9,'Run 2'!E9,'Run 3'!E9,'Run 4'!E9,'Run 5'!E9,'Run 6'!E9,'Run 7'!E9,'Run 8'!E9,'Run 9'!E9,'Run 10'!E9,'Run 11'!E9)</f>
        <v>59.57</v>
      </c>
      <c r="F9" s="3">
        <f>MIN('Run 1'!E9,'Run 2'!E9,'Run 3'!E9,'Run 4'!E9,'Run 5'!E9,'Run 6'!E9,'Run 7'!E9,'Run 8'!E9,'Run 9'!E9,'Run 10'!E9,'Run 11'!E9)</f>
        <v>58.66</v>
      </c>
      <c r="G9" s="3">
        <f>MAX('Run 1'!E9,'Run 2'!E9,'Run 3'!E9,'Run 4'!E9,'Run 5'!E9,'Run 6'!E9,'Run 7'!E9,'Run 8'!E9,'Run 9'!E9,'Run 10'!E9,'Run 11'!E9)</f>
        <v>60.31</v>
      </c>
      <c r="H9" s="1">
        <f>COUNTIF('Run 1'!I9,"Yes")+COUNTIF('Run 2'!I9,"Yes")+COUNTIF('Run 3'!I9,"Yes")+COUNTIF('Run 4'!I9,"Yes")+COUNTIF('Run 5'!I9,"Yes")+COUNTIF('Run 6'!I9,"Yes")+COUNTIF('Run 7'!I9,"Yes")+COUNTIF('Run 8'!I9,"Yes")+COUNTIF('Run 9'!I9,"Yes")+COUNTIF('Run 10'!I9,"Yes")+COUNTIF('Run 11'!I9,"Yes")</f>
        <v>0</v>
      </c>
    </row>
    <row r="10" spans="1:8" x14ac:dyDescent="0.3">
      <c r="A10" s="1" t="s">
        <v>14</v>
      </c>
      <c r="B10" s="1" t="s">
        <v>18</v>
      </c>
      <c r="C10" s="1" t="s">
        <v>16</v>
      </c>
      <c r="D10" s="1">
        <v>16384</v>
      </c>
      <c r="E10" s="3">
        <f>MEDIAN('Run 1'!E10,'Run 2'!E10,'Run 3'!E10,'Run 4'!E10,'Run 5'!E10,'Run 6'!E10,'Run 7'!E10,'Run 8'!E10,'Run 9'!E10,'Run 10'!E10,'Run 11'!E10)</f>
        <v>26.8</v>
      </c>
      <c r="F10" s="3">
        <f>MIN('Run 1'!E10,'Run 2'!E10,'Run 3'!E10,'Run 4'!E10,'Run 5'!E10,'Run 6'!E10,'Run 7'!E10,'Run 8'!E10,'Run 9'!E10,'Run 10'!E10,'Run 11'!E10)</f>
        <v>26.01</v>
      </c>
      <c r="G10" s="3">
        <f>MAX('Run 1'!E10,'Run 2'!E10,'Run 3'!E10,'Run 4'!E10,'Run 5'!E10,'Run 6'!E10,'Run 7'!E10,'Run 8'!E10,'Run 9'!E10,'Run 10'!E10,'Run 11'!E10)</f>
        <v>27.04</v>
      </c>
      <c r="H10" s="1">
        <f>COUNTIF('Run 1'!I10,"Yes")+COUNTIF('Run 2'!I10,"Yes")+COUNTIF('Run 3'!I10,"Yes")+COUNTIF('Run 4'!I10,"Yes")+COUNTIF('Run 5'!I10,"Yes")+COUNTIF('Run 6'!I10,"Yes")+COUNTIF('Run 7'!I10,"Yes")+COUNTIF('Run 8'!I10,"Yes")+COUNTIF('Run 9'!I10,"Yes")+COUNTIF('Run 10'!I10,"Yes")+COUNTIF('Run 11'!I10,"Yes")</f>
        <v>0</v>
      </c>
    </row>
    <row r="11" spans="1:8" x14ac:dyDescent="0.3">
      <c r="A11" s="1" t="s">
        <v>14</v>
      </c>
      <c r="B11" s="1" t="s">
        <v>18</v>
      </c>
      <c r="C11" s="1" t="s">
        <v>17</v>
      </c>
      <c r="D11" s="1">
        <v>16384</v>
      </c>
      <c r="E11" s="3">
        <f>MEDIAN('Run 1'!E11,'Run 2'!E11,'Run 3'!E11,'Run 4'!E11,'Run 5'!E11,'Run 6'!E11,'Run 7'!E11,'Run 8'!E11,'Run 9'!E11,'Run 10'!E11,'Run 11'!E11)</f>
        <v>24.21</v>
      </c>
      <c r="F11" s="3">
        <f>MIN('Run 1'!E11,'Run 2'!E11,'Run 3'!E11,'Run 4'!E11,'Run 5'!E11,'Run 6'!E11,'Run 7'!E11,'Run 8'!E11,'Run 9'!E11,'Run 10'!E11,'Run 11'!E11)</f>
        <v>23.67</v>
      </c>
      <c r="G11" s="3">
        <f>MAX('Run 1'!E11,'Run 2'!E11,'Run 3'!E11,'Run 4'!E11,'Run 5'!E11,'Run 6'!E11,'Run 7'!E11,'Run 8'!E11,'Run 9'!E11,'Run 10'!E11,'Run 11'!E11)</f>
        <v>25.06</v>
      </c>
      <c r="H11" s="1">
        <f>COUNTIF('Run 1'!I11,"Yes")+COUNTIF('Run 2'!I11,"Yes")+COUNTIF('Run 3'!I11,"Yes")+COUNTIF('Run 4'!I11,"Yes")+COUNTIF('Run 5'!I11,"Yes")+COUNTIF('Run 6'!I11,"Yes")+COUNTIF('Run 7'!I11,"Yes")+COUNTIF('Run 8'!I11,"Yes")+COUNTIF('Run 9'!I11,"Yes")+COUNTIF('Run 10'!I11,"Yes")+COUNTIF('Run 11'!I11,"Yes")</f>
        <v>0</v>
      </c>
    </row>
    <row r="12" spans="1:8" x14ac:dyDescent="0.3">
      <c r="A12" s="1" t="s">
        <v>14</v>
      </c>
      <c r="B12" s="1" t="s">
        <v>19</v>
      </c>
      <c r="C12" s="1" t="s">
        <v>16</v>
      </c>
      <c r="D12" s="1">
        <v>16384</v>
      </c>
      <c r="E12" s="3">
        <f>MEDIAN('Run 1'!E12,'Run 2'!E12,'Run 3'!E12,'Run 4'!E12,'Run 5'!E12,'Run 6'!E12,'Run 7'!E12,'Run 8'!E12,'Run 9'!E12,'Run 10'!E12,'Run 11'!E12)</f>
        <v>18.18</v>
      </c>
      <c r="F12" s="3">
        <f>MIN('Run 1'!E12,'Run 2'!E12,'Run 3'!E12,'Run 4'!E12,'Run 5'!E12,'Run 6'!E12,'Run 7'!E12,'Run 8'!E12,'Run 9'!E12,'Run 10'!E12,'Run 11'!E12)</f>
        <v>17.77</v>
      </c>
      <c r="G12" s="3">
        <f>MAX('Run 1'!E12,'Run 2'!E12,'Run 3'!E12,'Run 4'!E12,'Run 5'!E12,'Run 6'!E12,'Run 7'!E12,'Run 8'!E12,'Run 9'!E12,'Run 10'!E12,'Run 11'!E12)</f>
        <v>18.87</v>
      </c>
      <c r="H12" s="1">
        <f>COUNTIF('Run 1'!I12,"Yes")+COUNTIF('Run 2'!I12,"Yes")+COUNTIF('Run 3'!I12,"Yes")+COUNTIF('Run 4'!I12,"Yes")+COUNTIF('Run 5'!I12,"Yes")+COUNTIF('Run 6'!I12,"Yes")+COUNTIF('Run 7'!I12,"Yes")+COUNTIF('Run 8'!I12,"Yes")+COUNTIF('Run 9'!I12,"Yes")+COUNTIF('Run 10'!I12,"Yes")+COUNTIF('Run 11'!I12,"Yes")</f>
        <v>0</v>
      </c>
    </row>
    <row r="13" spans="1:8" x14ac:dyDescent="0.3">
      <c r="A13" s="1" t="s">
        <v>14</v>
      </c>
      <c r="B13" s="1" t="s">
        <v>19</v>
      </c>
      <c r="C13" s="1" t="s">
        <v>17</v>
      </c>
      <c r="D13" s="1">
        <v>16384</v>
      </c>
      <c r="E13" s="3">
        <f>MEDIAN('Run 1'!E13,'Run 2'!E13,'Run 3'!E13,'Run 4'!E13,'Run 5'!E13,'Run 6'!E13,'Run 7'!E13,'Run 8'!E13,'Run 9'!E13,'Run 10'!E13,'Run 11'!E13)</f>
        <v>21.43</v>
      </c>
      <c r="F13" s="3">
        <f>MIN('Run 1'!E13,'Run 2'!E13,'Run 3'!E13,'Run 4'!E13,'Run 5'!E13,'Run 6'!E13,'Run 7'!E13,'Run 8'!E13,'Run 9'!E13,'Run 10'!E13,'Run 11'!E13)</f>
        <v>20.71</v>
      </c>
      <c r="G13" s="3">
        <f>MAX('Run 1'!E13,'Run 2'!E13,'Run 3'!E13,'Run 4'!E13,'Run 5'!E13,'Run 6'!E13,'Run 7'!E13,'Run 8'!E13,'Run 9'!E13,'Run 10'!E13,'Run 11'!E13)</f>
        <v>22.19</v>
      </c>
      <c r="H13" s="1">
        <f>COUNTIF('Run 1'!I13,"Yes")+COUNTIF('Run 2'!I13,"Yes")+COUNTIF('Run 3'!I13,"Yes")+COUNTIF('Run 4'!I13,"Yes")+COUNTIF('Run 5'!I13,"Yes")+COUNTIF('Run 6'!I13,"Yes")+COUNTIF('Run 7'!I13,"Yes")+COUNTIF('Run 8'!I13,"Yes")+COUNTIF('Run 9'!I13,"Yes")+COUNTIF('Run 10'!I13,"Yes")+COUNTIF('Run 11'!I13,"Yes")</f>
        <v>0</v>
      </c>
    </row>
    <row r="14" spans="1:8" x14ac:dyDescent="0.3">
      <c r="A14" s="1" t="s">
        <v>14</v>
      </c>
      <c r="B14" s="1" t="s">
        <v>15</v>
      </c>
      <c r="C14" s="1" t="s">
        <v>16</v>
      </c>
      <c r="D14" s="1">
        <v>65536</v>
      </c>
      <c r="E14" s="3">
        <f>MEDIAN('Run 1'!E14,'Run 2'!E14,'Run 3'!E14,'Run 4'!E14,'Run 5'!E14,'Run 6'!E14,'Run 7'!E14,'Run 8'!E14,'Run 9'!E14,'Run 10'!E14,'Run 11'!E14)</f>
        <v>100.09</v>
      </c>
      <c r="F14" s="3">
        <f>MIN('Run 1'!E14,'Run 2'!E14,'Run 3'!E14,'Run 4'!E14,'Run 5'!E14,'Run 6'!E14,'Run 7'!E14,'Run 8'!E14,'Run 9'!E14,'Run 10'!E14,'Run 11'!E14)</f>
        <v>97.52</v>
      </c>
      <c r="G14" s="3">
        <f>MAX('Run 1'!E14,'Run 2'!E14,'Run 3'!E14,'Run 4'!E14,'Run 5'!E14,'Run 6'!E14,'Run 7'!E14,'Run 8'!E14,'Run 9'!E14,'Run 10'!E14,'Run 11'!E14)</f>
        <v>102.49</v>
      </c>
      <c r="H14" s="1">
        <f>COUNTIF('Run 1'!I14,"Yes")+COUNTIF('Run 2'!I14,"Yes")+COUNTIF('Run 3'!I14,"Yes")+COUNTIF('Run 4'!I14,"Yes")+COUNTIF('Run 5'!I14,"Yes")+COUNTIF('Run 6'!I14,"Yes")+COUNTIF('Run 7'!I14,"Yes")+COUNTIF('Run 8'!I14,"Yes")+COUNTIF('Run 9'!I14,"Yes")+COUNTIF('Run 10'!I14,"Yes")+COUNTIF('Run 11'!I14,"Yes")</f>
        <v>0</v>
      </c>
    </row>
    <row r="15" spans="1:8" x14ac:dyDescent="0.3">
      <c r="A15" s="1" t="s">
        <v>14</v>
      </c>
      <c r="B15" s="1" t="s">
        <v>15</v>
      </c>
      <c r="C15" s="1" t="s">
        <v>17</v>
      </c>
      <c r="D15" s="1">
        <v>65536</v>
      </c>
      <c r="E15" s="3">
        <f>MEDIAN('Run 1'!E15,'Run 2'!E15,'Run 3'!E15,'Run 4'!E15,'Run 5'!E15,'Run 6'!E15,'Run 7'!E15,'Run 8'!E15,'Run 9'!E15,'Run 10'!E15,'Run 11'!E15)</f>
        <v>95.45</v>
      </c>
      <c r="F15" s="3">
        <f>MIN('Run 1'!E15,'Run 2'!E15,'Run 3'!E15,'Run 4'!E15,'Run 5'!E15,'Run 6'!E15,'Run 7'!E15,'Run 8'!E15,'Run 9'!E15,'Run 10'!E15,'Run 11'!E15)</f>
        <v>92.13</v>
      </c>
      <c r="G15" s="3">
        <f>MAX('Run 1'!E15,'Run 2'!E15,'Run 3'!E15,'Run 4'!E15,'Run 5'!E15,'Run 6'!E15,'Run 7'!E15,'Run 8'!E15,'Run 9'!E15,'Run 10'!E15,'Run 11'!E15)</f>
        <v>96.57</v>
      </c>
      <c r="H15" s="1">
        <f>COUNTIF('Run 1'!I15,"Yes")+COUNTIF('Run 2'!I15,"Yes")+COUNTIF('Run 3'!I15,"Yes")+COUNTIF('Run 4'!I15,"Yes")+COUNTIF('Run 5'!I15,"Yes")+COUNTIF('Run 6'!I15,"Yes")+COUNTIF('Run 7'!I15,"Yes")+COUNTIF('Run 8'!I15,"Yes")+COUNTIF('Run 9'!I15,"Yes")+COUNTIF('Run 10'!I15,"Yes")+COUNTIF('Run 11'!I15,"Yes")</f>
        <v>0</v>
      </c>
    </row>
    <row r="16" spans="1:8" x14ac:dyDescent="0.3">
      <c r="A16" s="1" t="s">
        <v>14</v>
      </c>
      <c r="B16" s="1" t="s">
        <v>18</v>
      </c>
      <c r="C16" s="1" t="s">
        <v>16</v>
      </c>
      <c r="D16" s="1">
        <v>65536</v>
      </c>
      <c r="E16" s="3">
        <f>MEDIAN('Run 1'!E16,'Run 2'!E16,'Run 3'!E16,'Run 4'!E16,'Run 5'!E16,'Run 6'!E16,'Run 7'!E16,'Run 8'!E16,'Run 9'!E16,'Run 10'!E16,'Run 11'!E16)</f>
        <v>40.479999999999997</v>
      </c>
      <c r="F16" s="3">
        <f>MIN('Run 1'!E16,'Run 2'!E16,'Run 3'!E16,'Run 4'!E16,'Run 5'!E16,'Run 6'!E16,'Run 7'!E16,'Run 8'!E16,'Run 9'!E16,'Run 10'!E16,'Run 11'!E16)</f>
        <v>39.74</v>
      </c>
      <c r="G16" s="3">
        <f>MAX('Run 1'!E16,'Run 2'!E16,'Run 3'!E16,'Run 4'!E16,'Run 5'!E16,'Run 6'!E16,'Run 7'!E16,'Run 8'!E16,'Run 9'!E16,'Run 10'!E16,'Run 11'!E16)</f>
        <v>41.57</v>
      </c>
      <c r="H16" s="1">
        <f>COUNTIF('Run 1'!I16,"Yes")+COUNTIF('Run 2'!I16,"Yes")+COUNTIF('Run 3'!I16,"Yes")+COUNTIF('Run 4'!I16,"Yes")+COUNTIF('Run 5'!I16,"Yes")+COUNTIF('Run 6'!I16,"Yes")+COUNTIF('Run 7'!I16,"Yes")+COUNTIF('Run 8'!I16,"Yes")+COUNTIF('Run 9'!I16,"Yes")+COUNTIF('Run 10'!I16,"Yes")+COUNTIF('Run 11'!I16,"Yes")</f>
        <v>0</v>
      </c>
    </row>
    <row r="17" spans="1:8" x14ac:dyDescent="0.3">
      <c r="A17" s="1" t="s">
        <v>14</v>
      </c>
      <c r="B17" s="1" t="s">
        <v>18</v>
      </c>
      <c r="C17" s="1" t="s">
        <v>17</v>
      </c>
      <c r="D17" s="1">
        <v>65536</v>
      </c>
      <c r="E17" s="3">
        <f>MEDIAN('Run 1'!E17,'Run 2'!E17,'Run 3'!E17,'Run 4'!E17,'Run 5'!E17,'Run 6'!E17,'Run 7'!E17,'Run 8'!E17,'Run 9'!E17,'Run 10'!E17,'Run 11'!E17)</f>
        <v>36.619999999999997</v>
      </c>
      <c r="F17" s="3">
        <f>MIN('Run 1'!E17,'Run 2'!E17,'Run 3'!E17,'Run 4'!E17,'Run 5'!E17,'Run 6'!E17,'Run 7'!E17,'Run 8'!E17,'Run 9'!E17,'Run 10'!E17,'Run 11'!E17)</f>
        <v>35.869999999999997</v>
      </c>
      <c r="G17" s="3">
        <f>MAX('Run 1'!E17,'Run 2'!E17,'Run 3'!E17,'Run 4'!E17,'Run 5'!E17,'Run 6'!E17,'Run 7'!E17,'Run 8'!E17,'Run 9'!E17,'Run 10'!E17,'Run 11'!E17)</f>
        <v>37.880000000000003</v>
      </c>
      <c r="H17" s="1">
        <f>COUNTIF('Run 1'!I17,"Yes")+COUNTIF('Run 2'!I17,"Yes")+COUNTIF('Run 3'!I17,"Yes")+COUNTIF('Run 4'!I17,"Yes")+COUNTIF('Run 5'!I17,"Yes")+COUNTIF('Run 6'!I17,"Yes")+COUNTIF('Run 7'!I17,"Yes")+COUNTIF('Run 8'!I17,"Yes")+COUNTIF('Run 9'!I17,"Yes")+COUNTIF('Run 10'!I17,"Yes")+COUNTIF('Run 11'!I17,"Yes")</f>
        <v>0</v>
      </c>
    </row>
    <row r="18" spans="1:8" x14ac:dyDescent="0.3">
      <c r="A18" s="1" t="s">
        <v>14</v>
      </c>
      <c r="B18" s="1" t="s">
        <v>19</v>
      </c>
      <c r="C18" s="1" t="s">
        <v>16</v>
      </c>
      <c r="D18" s="1">
        <v>65536</v>
      </c>
      <c r="E18" s="3">
        <f>MEDIAN('Run 1'!E18,'Run 2'!E18,'Run 3'!E18,'Run 4'!E18,'Run 5'!E18,'Run 6'!E18,'Run 7'!E18,'Run 8'!E18,'Run 9'!E18,'Run 10'!E18,'Run 11'!E18)</f>
        <v>26.59</v>
      </c>
      <c r="F18" s="3">
        <f>MIN('Run 1'!E18,'Run 2'!E18,'Run 3'!E18,'Run 4'!E18,'Run 5'!E18,'Run 6'!E18,'Run 7'!E18,'Run 8'!E18,'Run 9'!E18,'Run 10'!E18,'Run 11'!E18)</f>
        <v>26.07</v>
      </c>
      <c r="G18" s="3">
        <f>MAX('Run 1'!E18,'Run 2'!E18,'Run 3'!E18,'Run 4'!E18,'Run 5'!E18,'Run 6'!E18,'Run 7'!E18,'Run 8'!E18,'Run 9'!E18,'Run 10'!E18,'Run 11'!E18)</f>
        <v>27.47</v>
      </c>
      <c r="H18" s="1">
        <f>COUNTIF('Run 1'!I18,"Yes")+COUNTIF('Run 2'!I18,"Yes")+COUNTIF('Run 3'!I18,"Yes")+COUNTIF('Run 4'!I18,"Yes")+COUNTIF('Run 5'!I18,"Yes")+COUNTIF('Run 6'!I18,"Yes")+COUNTIF('Run 7'!I18,"Yes")+COUNTIF('Run 8'!I18,"Yes")+COUNTIF('Run 9'!I18,"Yes")+COUNTIF('Run 10'!I18,"Yes")+COUNTIF('Run 11'!I18,"Yes")</f>
        <v>0</v>
      </c>
    </row>
    <row r="19" spans="1:8" x14ac:dyDescent="0.3">
      <c r="A19" s="1" t="s">
        <v>14</v>
      </c>
      <c r="B19" s="1" t="s">
        <v>19</v>
      </c>
      <c r="C19" s="1" t="s">
        <v>17</v>
      </c>
      <c r="D19" s="1">
        <v>65536</v>
      </c>
      <c r="E19" s="3">
        <f>MEDIAN('Run 1'!E19,'Run 2'!E19,'Run 3'!E19,'Run 4'!E19,'Run 5'!E19,'Run 6'!E19,'Run 7'!E19,'Run 8'!E19,'Run 9'!E19,'Run 10'!E19,'Run 11'!E19)</f>
        <v>29.97</v>
      </c>
      <c r="F19" s="3">
        <f>MIN('Run 1'!E19,'Run 2'!E19,'Run 3'!E19,'Run 4'!E19,'Run 5'!E19,'Run 6'!E19,'Run 7'!E19,'Run 8'!E19,'Run 9'!E19,'Run 10'!E19,'Run 11'!E19)</f>
        <v>29.56</v>
      </c>
      <c r="G19" s="3">
        <f>MAX('Run 1'!E19,'Run 2'!E19,'Run 3'!E19,'Run 4'!E19,'Run 5'!E19,'Run 6'!E19,'Run 7'!E19,'Run 8'!E19,'Run 9'!E19,'Run 10'!E19,'Run 11'!E19)</f>
        <v>30.59</v>
      </c>
      <c r="H19" s="1">
        <f>COUNTIF('Run 1'!I19,"Yes")+COUNTIF('Run 2'!I19,"Yes")+COUNTIF('Run 3'!I19,"Yes")+COUNTIF('Run 4'!I19,"Yes")+COUNTIF('Run 5'!I19,"Yes")+COUNTIF('Run 6'!I19,"Yes")+COUNTIF('Run 7'!I19,"Yes")+COUNTIF('Run 8'!I19,"Yes")+COUNTIF('Run 9'!I19,"Yes")+COUNTIF('Run 10'!I19,"Yes")+COUNTIF('Run 11'!I19,"Yes")</f>
        <v>0</v>
      </c>
    </row>
    <row r="20" spans="1:8" x14ac:dyDescent="0.3">
      <c r="A20" s="1" t="s">
        <v>14</v>
      </c>
      <c r="B20" s="1" t="s">
        <v>15</v>
      </c>
      <c r="C20" s="1" t="s">
        <v>16</v>
      </c>
      <c r="D20" s="1">
        <v>262144</v>
      </c>
      <c r="E20" s="3">
        <f>MEDIAN('Run 1'!E20,'Run 2'!E20,'Run 3'!E20,'Run 4'!E20,'Run 5'!E20,'Run 6'!E20,'Run 7'!E20,'Run 8'!E20,'Run 9'!E20,'Run 10'!E20,'Run 11'!E20)</f>
        <v>183.11</v>
      </c>
      <c r="F20" s="3">
        <f>MIN('Run 1'!E20,'Run 2'!E20,'Run 3'!E20,'Run 4'!E20,'Run 5'!E20,'Run 6'!E20,'Run 7'!E20,'Run 8'!E20,'Run 9'!E20,'Run 10'!E20,'Run 11'!E20)</f>
        <v>172.98</v>
      </c>
      <c r="G20" s="3">
        <f>MAX('Run 1'!E20,'Run 2'!E20,'Run 3'!E20,'Run 4'!E20,'Run 5'!E20,'Run 6'!E20,'Run 7'!E20,'Run 8'!E20,'Run 9'!E20,'Run 10'!E20,'Run 11'!E20)</f>
        <v>192.69</v>
      </c>
      <c r="H20" s="1">
        <f>COUNTIF('Run 1'!I20,"Yes")+COUNTIF('Run 2'!I20,"Yes")+COUNTIF('Run 3'!I20,"Yes")+COUNTIF('Run 4'!I20,"Yes")+COUNTIF('Run 5'!I20,"Yes")+COUNTIF('Run 6'!I20,"Yes")+COUNTIF('Run 7'!I20,"Yes")+COUNTIF('Run 8'!I20,"Yes")+COUNTIF('Run 9'!I20,"Yes")+COUNTIF('Run 10'!I20,"Yes")+COUNTIF('Run 11'!I20,"Yes")</f>
        <v>0</v>
      </c>
    </row>
    <row r="21" spans="1:8" x14ac:dyDescent="0.3">
      <c r="A21" s="1" t="s">
        <v>14</v>
      </c>
      <c r="B21" s="1" t="s">
        <v>15</v>
      </c>
      <c r="C21" s="1" t="s">
        <v>17</v>
      </c>
      <c r="D21" s="1">
        <v>262144</v>
      </c>
      <c r="E21" s="3">
        <f>MEDIAN('Run 1'!E21,'Run 2'!E21,'Run 3'!E21,'Run 4'!E21,'Run 5'!E21,'Run 6'!E21,'Run 7'!E21,'Run 8'!E21,'Run 9'!E21,'Run 10'!E21,'Run 11'!E21)</f>
        <v>180.33</v>
      </c>
      <c r="F21" s="3">
        <f>MIN('Run 1'!E21,'Run 2'!E21,'Run 3'!E21,'Run 4'!E21,'Run 5'!E21,'Run 6'!E21,'Run 7'!E21,'Run 8'!E21,'Run 9'!E21,'Run 10'!E21,'Run 11'!E21)</f>
        <v>172.79</v>
      </c>
      <c r="G21" s="3">
        <f>MAX('Run 1'!E21,'Run 2'!E21,'Run 3'!E21,'Run 4'!E21,'Run 5'!E21,'Run 6'!E21,'Run 7'!E21,'Run 8'!E21,'Run 9'!E21,'Run 10'!E21,'Run 11'!E21)</f>
        <v>189.85</v>
      </c>
      <c r="H21" s="1">
        <f>COUNTIF('Run 1'!I21,"Yes")+COUNTIF('Run 2'!I21,"Yes")+COUNTIF('Run 3'!I21,"Yes")+COUNTIF('Run 4'!I21,"Yes")+COUNTIF('Run 5'!I21,"Yes")+COUNTIF('Run 6'!I21,"Yes")+COUNTIF('Run 7'!I21,"Yes")+COUNTIF('Run 8'!I21,"Yes")+COUNTIF('Run 9'!I21,"Yes")+COUNTIF('Run 10'!I21,"Yes")+COUNTIF('Run 11'!I21,"Yes")</f>
        <v>2</v>
      </c>
    </row>
    <row r="22" spans="1:8" x14ac:dyDescent="0.3">
      <c r="A22" s="1" t="s">
        <v>14</v>
      </c>
      <c r="B22" s="1" t="s">
        <v>18</v>
      </c>
      <c r="C22" s="1" t="s">
        <v>16</v>
      </c>
      <c r="D22" s="1">
        <v>262144</v>
      </c>
      <c r="E22" s="3">
        <f>MEDIAN('Run 1'!E22,'Run 2'!E22,'Run 3'!E22,'Run 4'!E22,'Run 5'!E22,'Run 6'!E22,'Run 7'!E22,'Run 8'!E22,'Run 9'!E22,'Run 10'!E22,'Run 11'!E22)</f>
        <v>78.5</v>
      </c>
      <c r="F22" s="3">
        <f>MIN('Run 1'!E22,'Run 2'!E22,'Run 3'!E22,'Run 4'!E22,'Run 5'!E22,'Run 6'!E22,'Run 7'!E22,'Run 8'!E22,'Run 9'!E22,'Run 10'!E22,'Run 11'!E22)</f>
        <v>76.33</v>
      </c>
      <c r="G22" s="3">
        <f>MAX('Run 1'!E22,'Run 2'!E22,'Run 3'!E22,'Run 4'!E22,'Run 5'!E22,'Run 6'!E22,'Run 7'!E22,'Run 8'!E22,'Run 9'!E22,'Run 10'!E22,'Run 11'!E22)</f>
        <v>81.040000000000006</v>
      </c>
      <c r="H22" s="1">
        <f>COUNTIF('Run 1'!I22,"Yes")+COUNTIF('Run 2'!I22,"Yes")+COUNTIF('Run 3'!I22,"Yes")+COUNTIF('Run 4'!I22,"Yes")+COUNTIF('Run 5'!I22,"Yes")+COUNTIF('Run 6'!I22,"Yes")+COUNTIF('Run 7'!I22,"Yes")+COUNTIF('Run 8'!I22,"Yes")+COUNTIF('Run 9'!I22,"Yes")+COUNTIF('Run 10'!I22,"Yes")+COUNTIF('Run 11'!I22,"Yes")</f>
        <v>0</v>
      </c>
    </row>
    <row r="23" spans="1:8" x14ac:dyDescent="0.3">
      <c r="A23" s="1" t="s">
        <v>14</v>
      </c>
      <c r="B23" s="1" t="s">
        <v>18</v>
      </c>
      <c r="C23" s="1" t="s">
        <v>17</v>
      </c>
      <c r="D23" s="1">
        <v>262144</v>
      </c>
      <c r="E23" s="3">
        <f>MEDIAN('Run 1'!E23,'Run 2'!E23,'Run 3'!E23,'Run 4'!E23,'Run 5'!E23,'Run 6'!E23,'Run 7'!E23,'Run 8'!E23,'Run 9'!E23,'Run 10'!E23,'Run 11'!E23)</f>
        <v>73.819999999999993</v>
      </c>
      <c r="F23" s="3">
        <f>MIN('Run 1'!E23,'Run 2'!E23,'Run 3'!E23,'Run 4'!E23,'Run 5'!E23,'Run 6'!E23,'Run 7'!E23,'Run 8'!E23,'Run 9'!E23,'Run 10'!E23,'Run 11'!E23)</f>
        <v>70.87</v>
      </c>
      <c r="G23" s="3">
        <f>MAX('Run 1'!E23,'Run 2'!E23,'Run 3'!E23,'Run 4'!E23,'Run 5'!E23,'Run 6'!E23,'Run 7'!E23,'Run 8'!E23,'Run 9'!E23,'Run 10'!E23,'Run 11'!E23)</f>
        <v>83.41</v>
      </c>
      <c r="H23" s="1">
        <f>COUNTIF('Run 1'!I23,"Yes")+COUNTIF('Run 2'!I23,"Yes")+COUNTIF('Run 3'!I23,"Yes")+COUNTIF('Run 4'!I23,"Yes")+COUNTIF('Run 5'!I23,"Yes")+COUNTIF('Run 6'!I23,"Yes")+COUNTIF('Run 7'!I23,"Yes")+COUNTIF('Run 8'!I23,"Yes")+COUNTIF('Run 9'!I23,"Yes")+COUNTIF('Run 10'!I23,"Yes")+COUNTIF('Run 11'!I23,"Yes")</f>
        <v>1</v>
      </c>
    </row>
    <row r="24" spans="1:8" x14ac:dyDescent="0.3">
      <c r="A24" s="1" t="s">
        <v>14</v>
      </c>
      <c r="B24" s="1" t="s">
        <v>19</v>
      </c>
      <c r="C24" s="1" t="s">
        <v>16</v>
      </c>
      <c r="D24" s="1">
        <v>262144</v>
      </c>
      <c r="E24" s="3">
        <f>MEDIAN('Run 1'!E24,'Run 2'!E24,'Run 3'!E24,'Run 4'!E24,'Run 5'!E24,'Run 6'!E24,'Run 7'!E24,'Run 8'!E24,'Run 9'!E24,'Run 10'!E24,'Run 11'!E24)</f>
        <v>49.25</v>
      </c>
      <c r="F24" s="3">
        <f>MIN('Run 1'!E24,'Run 2'!E24,'Run 3'!E24,'Run 4'!E24,'Run 5'!E24,'Run 6'!E24,'Run 7'!E24,'Run 8'!E24,'Run 9'!E24,'Run 10'!E24,'Run 11'!E24)</f>
        <v>46.92</v>
      </c>
      <c r="G24" s="3">
        <f>MAX('Run 1'!E24,'Run 2'!E24,'Run 3'!E24,'Run 4'!E24,'Run 5'!E24,'Run 6'!E24,'Run 7'!E24,'Run 8'!E24,'Run 9'!E24,'Run 10'!E24,'Run 11'!E24)</f>
        <v>49.86</v>
      </c>
      <c r="H24" s="1">
        <f>COUNTIF('Run 1'!I24,"Yes")+COUNTIF('Run 2'!I24,"Yes")+COUNTIF('Run 3'!I24,"Yes")+COUNTIF('Run 4'!I24,"Yes")+COUNTIF('Run 5'!I24,"Yes")+COUNTIF('Run 6'!I24,"Yes")+COUNTIF('Run 7'!I24,"Yes")+COUNTIF('Run 8'!I24,"Yes")+COUNTIF('Run 9'!I24,"Yes")+COUNTIF('Run 10'!I24,"Yes")+COUNTIF('Run 11'!I24,"Yes")</f>
        <v>0</v>
      </c>
    </row>
    <row r="25" spans="1:8" x14ac:dyDescent="0.3">
      <c r="A25" s="1" t="s">
        <v>14</v>
      </c>
      <c r="B25" s="1" t="s">
        <v>19</v>
      </c>
      <c r="C25" s="1" t="s">
        <v>17</v>
      </c>
      <c r="D25" s="1">
        <v>262144</v>
      </c>
      <c r="E25" s="3">
        <f>MEDIAN('Run 1'!E25,'Run 2'!E25,'Run 3'!E25,'Run 4'!E25,'Run 5'!E25,'Run 6'!E25,'Run 7'!E25,'Run 8'!E25,'Run 9'!E25,'Run 10'!E25,'Run 11'!E25)</f>
        <v>51.48</v>
      </c>
      <c r="F25" s="3">
        <f>MIN('Run 1'!E25,'Run 2'!E25,'Run 3'!E25,'Run 4'!E25,'Run 5'!E25,'Run 6'!E25,'Run 7'!E25,'Run 8'!E25,'Run 9'!E25,'Run 10'!E25,'Run 11'!E25)</f>
        <v>50.55</v>
      </c>
      <c r="G25" s="3">
        <f>MAX('Run 1'!E25,'Run 2'!E25,'Run 3'!E25,'Run 4'!E25,'Run 5'!E25,'Run 6'!E25,'Run 7'!E25,'Run 8'!E25,'Run 9'!E25,'Run 10'!E25,'Run 11'!E25)</f>
        <v>53.83</v>
      </c>
      <c r="H25" s="1">
        <f>COUNTIF('Run 1'!I25,"Yes")+COUNTIF('Run 2'!I25,"Yes")+COUNTIF('Run 3'!I25,"Yes")+COUNTIF('Run 4'!I25,"Yes")+COUNTIF('Run 5'!I25,"Yes")+COUNTIF('Run 6'!I25,"Yes")+COUNTIF('Run 7'!I25,"Yes")+COUNTIF('Run 8'!I25,"Yes")+COUNTIF('Run 9'!I25,"Yes")+COUNTIF('Run 10'!I25,"Yes")+COUNTIF('Run 11'!I25,"Yes")</f>
        <v>0</v>
      </c>
    </row>
    <row r="26" spans="1:8" x14ac:dyDescent="0.3">
      <c r="A26" s="1" t="s">
        <v>20</v>
      </c>
      <c r="B26" s="1" t="s">
        <v>15</v>
      </c>
      <c r="C26" s="1" t="s">
        <v>16</v>
      </c>
      <c r="D26" s="1">
        <v>4096</v>
      </c>
      <c r="E26" s="3">
        <f>MEDIAN('Run 1'!E26,'Run 2'!E26,'Run 3'!E26,'Run 4'!E26,'Run 5'!E26,'Run 6'!E26,'Run 7'!E26,'Run 8'!E26,'Run 9'!E26,'Run 10'!E26,'Run 11'!E26)</f>
        <v>19.559999999999999</v>
      </c>
      <c r="F26" s="3">
        <f>MIN('Run 1'!E26,'Run 2'!E26,'Run 3'!E26,'Run 4'!E26,'Run 5'!E26,'Run 6'!E26,'Run 7'!E26,'Run 8'!E26,'Run 9'!E26,'Run 10'!E26,'Run 11'!E26)</f>
        <v>18.510000000000002</v>
      </c>
      <c r="G26" s="3">
        <f>MAX('Run 1'!E26,'Run 2'!E26,'Run 3'!E26,'Run 4'!E26,'Run 5'!E26,'Run 6'!E26,'Run 7'!E26,'Run 8'!E26,'Run 9'!E26,'Run 10'!E26,'Run 11'!E26)</f>
        <v>20.309999999999999</v>
      </c>
      <c r="H26" s="1">
        <f>COUNTIF('Run 1'!I26,"Yes")+COUNTIF('Run 2'!I26,"Yes")+COUNTIF('Run 3'!I26,"Yes")+COUNTIF('Run 4'!I26,"Yes")+COUNTIF('Run 5'!I26,"Yes")+COUNTIF('Run 6'!I26,"Yes")+COUNTIF('Run 7'!I26,"Yes")+COUNTIF('Run 8'!I26,"Yes")+COUNTIF('Run 9'!I26,"Yes")+COUNTIF('Run 10'!I26,"Yes")+COUNTIF('Run 11'!I26,"Yes")</f>
        <v>2</v>
      </c>
    </row>
    <row r="27" spans="1:8" x14ac:dyDescent="0.3">
      <c r="A27" s="1" t="s">
        <v>20</v>
      </c>
      <c r="B27" s="1" t="s">
        <v>15</v>
      </c>
      <c r="C27" s="1" t="s">
        <v>17</v>
      </c>
      <c r="D27" s="1">
        <v>4096</v>
      </c>
      <c r="E27" s="3">
        <f>MEDIAN('Run 1'!E27,'Run 2'!E27,'Run 3'!E27,'Run 4'!E27,'Run 5'!E27,'Run 6'!E27,'Run 7'!E27,'Run 8'!E27,'Run 9'!E27,'Run 10'!E27,'Run 11'!E27)</f>
        <v>55.58</v>
      </c>
      <c r="F27" s="3">
        <f>MIN('Run 1'!E27,'Run 2'!E27,'Run 3'!E27,'Run 4'!E27,'Run 5'!E27,'Run 6'!E27,'Run 7'!E27,'Run 8'!E27,'Run 9'!E27,'Run 10'!E27,'Run 11'!E27)</f>
        <v>54.89</v>
      </c>
      <c r="G27" s="3">
        <f>MAX('Run 1'!E27,'Run 2'!E27,'Run 3'!E27,'Run 4'!E27,'Run 5'!E27,'Run 6'!E27,'Run 7'!E27,'Run 8'!E27,'Run 9'!E27,'Run 10'!E27,'Run 11'!E27)</f>
        <v>56.52</v>
      </c>
      <c r="H27" s="1">
        <f>COUNTIF('Run 1'!I27,"Yes")+COUNTIF('Run 2'!I27,"Yes")+COUNTIF('Run 3'!I27,"Yes")+COUNTIF('Run 4'!I27,"Yes")+COUNTIF('Run 5'!I27,"Yes")+COUNTIF('Run 6'!I27,"Yes")+COUNTIF('Run 7'!I27,"Yes")+COUNTIF('Run 8'!I27,"Yes")+COUNTIF('Run 9'!I27,"Yes")+COUNTIF('Run 10'!I27,"Yes")+COUNTIF('Run 11'!I27,"Yes")</f>
        <v>0</v>
      </c>
    </row>
    <row r="28" spans="1:8" x14ac:dyDescent="0.3">
      <c r="A28" s="1" t="s">
        <v>20</v>
      </c>
      <c r="B28" s="1" t="s">
        <v>18</v>
      </c>
      <c r="C28" s="1" t="s">
        <v>16</v>
      </c>
      <c r="D28" s="1">
        <v>4096</v>
      </c>
      <c r="E28" s="3">
        <f>MEDIAN('Run 1'!E28,'Run 2'!E28,'Run 3'!E28,'Run 4'!E28,'Run 5'!E28,'Run 6'!E28,'Run 7'!E28,'Run 8'!E28,'Run 9'!E28,'Run 10'!E28,'Run 11'!E28)</f>
        <v>22.82</v>
      </c>
      <c r="F28" s="3">
        <f>MIN('Run 1'!E28,'Run 2'!E28,'Run 3'!E28,'Run 4'!E28,'Run 5'!E28,'Run 6'!E28,'Run 7'!E28,'Run 8'!E28,'Run 9'!E28,'Run 10'!E28,'Run 11'!E28)</f>
        <v>22.36</v>
      </c>
      <c r="G28" s="3">
        <f>MAX('Run 1'!E28,'Run 2'!E28,'Run 3'!E28,'Run 4'!E28,'Run 5'!E28,'Run 6'!E28,'Run 7'!E28,'Run 8'!E28,'Run 9'!E28,'Run 10'!E28,'Run 11'!E28)</f>
        <v>24.23</v>
      </c>
      <c r="H28" s="1">
        <f>COUNTIF('Run 1'!I28,"Yes")+COUNTIF('Run 2'!I28,"Yes")+COUNTIF('Run 3'!I28,"Yes")+COUNTIF('Run 4'!I28,"Yes")+COUNTIF('Run 5'!I28,"Yes")+COUNTIF('Run 6'!I28,"Yes")+COUNTIF('Run 7'!I28,"Yes")+COUNTIF('Run 8'!I28,"Yes")+COUNTIF('Run 9'!I28,"Yes")+COUNTIF('Run 10'!I28,"Yes")+COUNTIF('Run 11'!I28,"Yes")</f>
        <v>0</v>
      </c>
    </row>
    <row r="29" spans="1:8" x14ac:dyDescent="0.3">
      <c r="A29" s="1" t="s">
        <v>20</v>
      </c>
      <c r="B29" s="1" t="s">
        <v>18</v>
      </c>
      <c r="C29" s="1" t="s">
        <v>17</v>
      </c>
      <c r="D29" s="1">
        <v>4096</v>
      </c>
      <c r="E29" s="3">
        <f>MEDIAN('Run 1'!E29,'Run 2'!E29,'Run 3'!E29,'Run 4'!E29,'Run 5'!E29,'Run 6'!E29,'Run 7'!E29,'Run 8'!E29,'Run 9'!E29,'Run 10'!E29,'Run 11'!E29)</f>
        <v>37.32</v>
      </c>
      <c r="F29" s="3">
        <f>MIN('Run 1'!E29,'Run 2'!E29,'Run 3'!E29,'Run 4'!E29,'Run 5'!E29,'Run 6'!E29,'Run 7'!E29,'Run 8'!E29,'Run 9'!E29,'Run 10'!E29,'Run 11'!E29)</f>
        <v>36.4</v>
      </c>
      <c r="G29" s="3">
        <f>MAX('Run 1'!E29,'Run 2'!E29,'Run 3'!E29,'Run 4'!E29,'Run 5'!E29,'Run 6'!E29,'Run 7'!E29,'Run 8'!E29,'Run 9'!E29,'Run 10'!E29,'Run 11'!E29)</f>
        <v>38.409999999999997</v>
      </c>
      <c r="H29" s="1">
        <f>COUNTIF('Run 1'!I29,"Yes")+COUNTIF('Run 2'!I29,"Yes")+COUNTIF('Run 3'!I29,"Yes")+COUNTIF('Run 4'!I29,"Yes")+COUNTIF('Run 5'!I29,"Yes")+COUNTIF('Run 6'!I29,"Yes")+COUNTIF('Run 7'!I29,"Yes")+COUNTIF('Run 8'!I29,"Yes")+COUNTIF('Run 9'!I29,"Yes")+COUNTIF('Run 10'!I29,"Yes")+COUNTIF('Run 11'!I29,"Yes")</f>
        <v>1</v>
      </c>
    </row>
    <row r="30" spans="1:8" x14ac:dyDescent="0.3">
      <c r="A30" s="1" t="s">
        <v>20</v>
      </c>
      <c r="B30" s="1" t="s">
        <v>19</v>
      </c>
      <c r="C30" s="1" t="s">
        <v>16</v>
      </c>
      <c r="D30" s="1">
        <v>4096</v>
      </c>
      <c r="E30" s="3">
        <f>MEDIAN('Run 1'!E30,'Run 2'!E30,'Run 3'!E30,'Run 4'!E30,'Run 5'!E30,'Run 6'!E30,'Run 7'!E30,'Run 8'!E30,'Run 9'!E30,'Run 10'!E30,'Run 11'!E30)</f>
        <v>25.27</v>
      </c>
      <c r="F30" s="3">
        <f>MIN('Run 1'!E30,'Run 2'!E30,'Run 3'!E30,'Run 4'!E30,'Run 5'!E30,'Run 6'!E30,'Run 7'!E30,'Run 8'!E30,'Run 9'!E30,'Run 10'!E30,'Run 11'!E30)</f>
        <v>24.15</v>
      </c>
      <c r="G30" s="3">
        <f>MAX('Run 1'!E30,'Run 2'!E30,'Run 3'!E30,'Run 4'!E30,'Run 5'!E30,'Run 6'!E30,'Run 7'!E30,'Run 8'!E30,'Run 9'!E30,'Run 10'!E30,'Run 11'!E30)</f>
        <v>25.81</v>
      </c>
      <c r="H30" s="1">
        <f>COUNTIF('Run 1'!I30,"Yes")+COUNTIF('Run 2'!I30,"Yes")+COUNTIF('Run 3'!I30,"Yes")+COUNTIF('Run 4'!I30,"Yes")+COUNTIF('Run 5'!I30,"Yes")+COUNTIF('Run 6'!I30,"Yes")+COUNTIF('Run 7'!I30,"Yes")+COUNTIF('Run 8'!I30,"Yes")+COUNTIF('Run 9'!I30,"Yes")+COUNTIF('Run 10'!I30,"Yes")+COUNTIF('Run 11'!I30,"Yes")</f>
        <v>2</v>
      </c>
    </row>
    <row r="31" spans="1:8" x14ac:dyDescent="0.3">
      <c r="A31" s="1" t="s">
        <v>20</v>
      </c>
      <c r="B31" s="1" t="s">
        <v>19</v>
      </c>
      <c r="C31" s="1" t="s">
        <v>17</v>
      </c>
      <c r="D31" s="1">
        <v>4096</v>
      </c>
      <c r="E31" s="3">
        <f>MEDIAN('Run 1'!E31,'Run 2'!E31,'Run 3'!E31,'Run 4'!E31,'Run 5'!E31,'Run 6'!E31,'Run 7'!E31,'Run 8'!E31,'Run 9'!E31,'Run 10'!E31,'Run 11'!E31)</f>
        <v>60.77</v>
      </c>
      <c r="F31" s="3">
        <f>MIN('Run 1'!E31,'Run 2'!E31,'Run 3'!E31,'Run 4'!E31,'Run 5'!E31,'Run 6'!E31,'Run 7'!E31,'Run 8'!E31,'Run 9'!E31,'Run 10'!E31,'Run 11'!E31)</f>
        <v>59.83</v>
      </c>
      <c r="G31" s="3">
        <f>MAX('Run 1'!E31,'Run 2'!E31,'Run 3'!E31,'Run 4'!E31,'Run 5'!E31,'Run 6'!E31,'Run 7'!E31,'Run 8'!E31,'Run 9'!E31,'Run 10'!E31,'Run 11'!E31)</f>
        <v>64</v>
      </c>
      <c r="H31" s="1">
        <f>COUNTIF('Run 1'!I31,"Yes")+COUNTIF('Run 2'!I31,"Yes")+COUNTIF('Run 3'!I31,"Yes")+COUNTIF('Run 4'!I31,"Yes")+COUNTIF('Run 5'!I31,"Yes")+COUNTIF('Run 6'!I31,"Yes")+COUNTIF('Run 7'!I31,"Yes")+COUNTIF('Run 8'!I31,"Yes")+COUNTIF('Run 9'!I31,"Yes")+COUNTIF('Run 10'!I31,"Yes")+COUNTIF('Run 11'!I31,"Yes")</f>
        <v>0</v>
      </c>
    </row>
    <row r="32" spans="1:8" x14ac:dyDescent="0.3">
      <c r="A32" s="1" t="s">
        <v>20</v>
      </c>
      <c r="B32" s="1" t="s">
        <v>15</v>
      </c>
      <c r="C32" s="1" t="s">
        <v>16</v>
      </c>
      <c r="D32" s="1">
        <v>16384</v>
      </c>
      <c r="E32" s="3">
        <f>MEDIAN('Run 1'!E32,'Run 2'!E32,'Run 3'!E32,'Run 4'!E32,'Run 5'!E32,'Run 6'!E32,'Run 7'!E32,'Run 8'!E32,'Run 9'!E32,'Run 10'!E32,'Run 11'!E32)</f>
        <v>23.64</v>
      </c>
      <c r="F32" s="3">
        <f>MIN('Run 1'!E32,'Run 2'!E32,'Run 3'!E32,'Run 4'!E32,'Run 5'!E32,'Run 6'!E32,'Run 7'!E32,'Run 8'!E32,'Run 9'!E32,'Run 10'!E32,'Run 11'!E32)</f>
        <v>23.31</v>
      </c>
      <c r="G32" s="3">
        <f>MAX('Run 1'!E32,'Run 2'!E32,'Run 3'!E32,'Run 4'!E32,'Run 5'!E32,'Run 6'!E32,'Run 7'!E32,'Run 8'!E32,'Run 9'!E32,'Run 10'!E32,'Run 11'!E32)</f>
        <v>24.77</v>
      </c>
      <c r="H32" s="1">
        <f>COUNTIF('Run 1'!I32,"Yes")+COUNTIF('Run 2'!I32,"Yes")+COUNTIF('Run 3'!I32,"Yes")+COUNTIF('Run 4'!I32,"Yes")+COUNTIF('Run 5'!I32,"Yes")+COUNTIF('Run 6'!I32,"Yes")+COUNTIF('Run 7'!I32,"Yes")+COUNTIF('Run 8'!I32,"Yes")+COUNTIF('Run 9'!I32,"Yes")+COUNTIF('Run 10'!I32,"Yes")+COUNTIF('Run 11'!I32,"Yes")</f>
        <v>11</v>
      </c>
    </row>
    <row r="33" spans="1:8" x14ac:dyDescent="0.3">
      <c r="A33" s="1" t="s">
        <v>20</v>
      </c>
      <c r="B33" s="1" t="s">
        <v>15</v>
      </c>
      <c r="C33" s="1" t="s">
        <v>17</v>
      </c>
      <c r="D33" s="1">
        <v>16384</v>
      </c>
      <c r="E33" s="3">
        <f>MEDIAN('Run 1'!E33,'Run 2'!E33,'Run 3'!E33,'Run 4'!E33,'Run 5'!E33,'Run 6'!E33,'Run 7'!E33,'Run 8'!E33,'Run 9'!E33,'Run 10'!E33,'Run 11'!E33)</f>
        <v>70.349999999999994</v>
      </c>
      <c r="F33" s="3">
        <f>MIN('Run 1'!E33,'Run 2'!E33,'Run 3'!E33,'Run 4'!E33,'Run 5'!E33,'Run 6'!E33,'Run 7'!E33,'Run 8'!E33,'Run 9'!E33,'Run 10'!E33,'Run 11'!E33)</f>
        <v>69.12</v>
      </c>
      <c r="G33" s="3">
        <f>MAX('Run 1'!E33,'Run 2'!E33,'Run 3'!E33,'Run 4'!E33,'Run 5'!E33,'Run 6'!E33,'Run 7'!E33,'Run 8'!E33,'Run 9'!E33,'Run 10'!E33,'Run 11'!E33)</f>
        <v>73.89</v>
      </c>
      <c r="H33" s="1">
        <f>COUNTIF('Run 1'!I33,"Yes")+COUNTIF('Run 2'!I33,"Yes")+COUNTIF('Run 3'!I33,"Yes")+COUNTIF('Run 4'!I33,"Yes")+COUNTIF('Run 5'!I33,"Yes")+COUNTIF('Run 6'!I33,"Yes")+COUNTIF('Run 7'!I33,"Yes")+COUNTIF('Run 8'!I33,"Yes")+COUNTIF('Run 9'!I33,"Yes")+COUNTIF('Run 10'!I33,"Yes")+COUNTIF('Run 11'!I33,"Yes")</f>
        <v>0</v>
      </c>
    </row>
    <row r="34" spans="1:8" x14ac:dyDescent="0.3">
      <c r="A34" s="1" t="s">
        <v>20</v>
      </c>
      <c r="B34" s="1" t="s">
        <v>18</v>
      </c>
      <c r="C34" s="1" t="s">
        <v>16</v>
      </c>
      <c r="D34" s="1">
        <v>16384</v>
      </c>
      <c r="E34" s="3">
        <f>MEDIAN('Run 1'!E34,'Run 2'!E34,'Run 3'!E34,'Run 4'!E34,'Run 5'!E34,'Run 6'!E34,'Run 7'!E34,'Run 8'!E34,'Run 9'!E34,'Run 10'!E34,'Run 11'!E34)</f>
        <v>29.15</v>
      </c>
      <c r="F34" s="3">
        <f>MIN('Run 1'!E34,'Run 2'!E34,'Run 3'!E34,'Run 4'!E34,'Run 5'!E34,'Run 6'!E34,'Run 7'!E34,'Run 8'!E34,'Run 9'!E34,'Run 10'!E34,'Run 11'!E34)</f>
        <v>27.46</v>
      </c>
      <c r="G34" s="3">
        <f>MAX('Run 1'!E34,'Run 2'!E34,'Run 3'!E34,'Run 4'!E34,'Run 5'!E34,'Run 6'!E34,'Run 7'!E34,'Run 8'!E34,'Run 9'!E34,'Run 10'!E34,'Run 11'!E34)</f>
        <v>57.8</v>
      </c>
      <c r="H34" s="1">
        <f>COUNTIF('Run 1'!I34,"Yes")+COUNTIF('Run 2'!I34,"Yes")+COUNTIF('Run 3'!I34,"Yes")+COUNTIF('Run 4'!I34,"Yes")+COUNTIF('Run 5'!I34,"Yes")+COUNTIF('Run 6'!I34,"Yes")+COUNTIF('Run 7'!I34,"Yes")+COUNTIF('Run 8'!I34,"Yes")+COUNTIF('Run 9'!I34,"Yes")+COUNTIF('Run 10'!I34,"Yes")+COUNTIF('Run 11'!I34,"Yes")</f>
        <v>2</v>
      </c>
    </row>
    <row r="35" spans="1:8" x14ac:dyDescent="0.3">
      <c r="A35" s="1" t="s">
        <v>20</v>
      </c>
      <c r="B35" s="1" t="s">
        <v>18</v>
      </c>
      <c r="C35" s="1" t="s">
        <v>17</v>
      </c>
      <c r="D35" s="1">
        <v>16384</v>
      </c>
      <c r="E35" s="3">
        <f>MEDIAN('Run 1'!E35,'Run 2'!E35,'Run 3'!E35,'Run 4'!E35,'Run 5'!E35,'Run 6'!E35,'Run 7'!E35,'Run 8'!E35,'Run 9'!E35,'Run 10'!E35,'Run 11'!E35)</f>
        <v>57.9</v>
      </c>
      <c r="F35" s="3">
        <f>MIN('Run 1'!E35,'Run 2'!E35,'Run 3'!E35,'Run 4'!E35,'Run 5'!E35,'Run 6'!E35,'Run 7'!E35,'Run 8'!E35,'Run 9'!E35,'Run 10'!E35,'Run 11'!E35)</f>
        <v>56.17</v>
      </c>
      <c r="G35" s="3">
        <f>MAX('Run 1'!E35,'Run 2'!E35,'Run 3'!E35,'Run 4'!E35,'Run 5'!E35,'Run 6'!E35,'Run 7'!E35,'Run 8'!E35,'Run 9'!E35,'Run 10'!E35,'Run 11'!E35)</f>
        <v>89.04</v>
      </c>
      <c r="H35" s="1">
        <f>COUNTIF('Run 1'!I35,"Yes")+COUNTIF('Run 2'!I35,"Yes")+COUNTIF('Run 3'!I35,"Yes")+COUNTIF('Run 4'!I35,"Yes")+COUNTIF('Run 5'!I35,"Yes")+COUNTIF('Run 6'!I35,"Yes")+COUNTIF('Run 7'!I35,"Yes")+COUNTIF('Run 8'!I35,"Yes")+COUNTIF('Run 9'!I35,"Yes")+COUNTIF('Run 10'!I35,"Yes")+COUNTIF('Run 11'!I35,"Yes")</f>
        <v>1</v>
      </c>
    </row>
    <row r="36" spans="1:8" x14ac:dyDescent="0.3">
      <c r="A36" s="1" t="s">
        <v>20</v>
      </c>
      <c r="B36" s="1" t="s">
        <v>19</v>
      </c>
      <c r="C36" s="1" t="s">
        <v>16</v>
      </c>
      <c r="D36" s="1">
        <v>16384</v>
      </c>
      <c r="E36" s="3">
        <f>MEDIAN('Run 1'!E36,'Run 2'!E36,'Run 3'!E36,'Run 4'!E36,'Run 5'!E36,'Run 6'!E36,'Run 7'!E36,'Run 8'!E36,'Run 9'!E36,'Run 10'!E36,'Run 11'!E36)</f>
        <v>30.03</v>
      </c>
      <c r="F36" s="3">
        <f>MIN('Run 1'!E36,'Run 2'!E36,'Run 3'!E36,'Run 4'!E36,'Run 5'!E36,'Run 6'!E36,'Run 7'!E36,'Run 8'!E36,'Run 9'!E36,'Run 10'!E36,'Run 11'!E36)</f>
        <v>27.1</v>
      </c>
      <c r="G36" s="3">
        <f>MAX('Run 1'!E36,'Run 2'!E36,'Run 3'!E36,'Run 4'!E36,'Run 5'!E36,'Run 6'!E36,'Run 7'!E36,'Run 8'!E36,'Run 9'!E36,'Run 10'!E36,'Run 11'!E36)</f>
        <v>30.82</v>
      </c>
      <c r="H36" s="1">
        <f>COUNTIF('Run 1'!I36,"Yes")+COUNTIF('Run 2'!I36,"Yes")+COUNTIF('Run 3'!I36,"Yes")+COUNTIF('Run 4'!I36,"Yes")+COUNTIF('Run 5'!I36,"Yes")+COUNTIF('Run 6'!I36,"Yes")+COUNTIF('Run 7'!I36,"Yes")+COUNTIF('Run 8'!I36,"Yes")+COUNTIF('Run 9'!I36,"Yes")+COUNTIF('Run 10'!I36,"Yes")+COUNTIF('Run 11'!I36,"Yes")</f>
        <v>1</v>
      </c>
    </row>
    <row r="37" spans="1:8" x14ac:dyDescent="0.3">
      <c r="A37" s="1" t="s">
        <v>20</v>
      </c>
      <c r="B37" s="1" t="s">
        <v>19</v>
      </c>
      <c r="C37" s="1" t="s">
        <v>17</v>
      </c>
      <c r="D37" s="1">
        <v>16384</v>
      </c>
      <c r="E37" s="3">
        <f>MEDIAN('Run 1'!E37,'Run 2'!E37,'Run 3'!E37,'Run 4'!E37,'Run 5'!E37,'Run 6'!E37,'Run 7'!E37,'Run 8'!E37,'Run 9'!E37,'Run 10'!E37,'Run 11'!E37)</f>
        <v>78.87</v>
      </c>
      <c r="F37" s="3">
        <f>MIN('Run 1'!E37,'Run 2'!E37,'Run 3'!E37,'Run 4'!E37,'Run 5'!E37,'Run 6'!E37,'Run 7'!E37,'Run 8'!E37,'Run 9'!E37,'Run 10'!E37,'Run 11'!E37)</f>
        <v>78.33</v>
      </c>
      <c r="G37" s="3">
        <f>MAX('Run 1'!E37,'Run 2'!E37,'Run 3'!E37,'Run 4'!E37,'Run 5'!E37,'Run 6'!E37,'Run 7'!E37,'Run 8'!E37,'Run 9'!E37,'Run 10'!E37,'Run 11'!E37)</f>
        <v>85.19</v>
      </c>
      <c r="H37" s="1">
        <f>COUNTIF('Run 1'!I37,"Yes")+COUNTIF('Run 2'!I37,"Yes")+COUNTIF('Run 3'!I37,"Yes")+COUNTIF('Run 4'!I37,"Yes")+COUNTIF('Run 5'!I37,"Yes")+COUNTIF('Run 6'!I37,"Yes")+COUNTIF('Run 7'!I37,"Yes")+COUNTIF('Run 8'!I37,"Yes")+COUNTIF('Run 9'!I37,"Yes")+COUNTIF('Run 10'!I37,"Yes")+COUNTIF('Run 11'!I37,"Yes")</f>
        <v>0</v>
      </c>
    </row>
    <row r="38" spans="1:8" x14ac:dyDescent="0.3">
      <c r="A38" s="1" t="s">
        <v>20</v>
      </c>
      <c r="B38" s="1" t="s">
        <v>15</v>
      </c>
      <c r="C38" s="1" t="s">
        <v>16</v>
      </c>
      <c r="D38" s="1">
        <v>65536</v>
      </c>
      <c r="E38" s="3">
        <f>MEDIAN('Run 1'!E38,'Run 2'!E38,'Run 3'!E38,'Run 4'!E38,'Run 5'!E38,'Run 6'!E38,'Run 7'!E38,'Run 8'!E38,'Run 9'!E38,'Run 10'!E38,'Run 11'!E38)</f>
        <v>57.76</v>
      </c>
      <c r="F38" s="3">
        <f>MIN('Run 1'!E38,'Run 2'!E38,'Run 3'!E38,'Run 4'!E38,'Run 5'!E38,'Run 6'!E38,'Run 7'!E38,'Run 8'!E38,'Run 9'!E38,'Run 10'!E38,'Run 11'!E38)</f>
        <v>55.17</v>
      </c>
      <c r="G38" s="3">
        <f>MAX('Run 1'!E38,'Run 2'!E38,'Run 3'!E38,'Run 4'!E38,'Run 5'!E38,'Run 6'!E38,'Run 7'!E38,'Run 8'!E38,'Run 9'!E38,'Run 10'!E38,'Run 11'!E38)</f>
        <v>59.34</v>
      </c>
      <c r="H38" s="1">
        <f>COUNTIF('Run 1'!I38,"Yes")+COUNTIF('Run 2'!I38,"Yes")+COUNTIF('Run 3'!I38,"Yes")+COUNTIF('Run 4'!I38,"Yes")+COUNTIF('Run 5'!I38,"Yes")+COUNTIF('Run 6'!I38,"Yes")+COUNTIF('Run 7'!I38,"Yes")+COUNTIF('Run 8'!I38,"Yes")+COUNTIF('Run 9'!I38,"Yes")+COUNTIF('Run 10'!I38,"Yes")+COUNTIF('Run 11'!I38,"Yes")</f>
        <v>4</v>
      </c>
    </row>
    <row r="39" spans="1:8" x14ac:dyDescent="0.3">
      <c r="A39" s="1" t="s">
        <v>20</v>
      </c>
      <c r="B39" s="1" t="s">
        <v>15</v>
      </c>
      <c r="C39" s="1" t="s">
        <v>17</v>
      </c>
      <c r="D39" s="1">
        <v>65536</v>
      </c>
      <c r="E39" s="3">
        <f>MEDIAN('Run 1'!E39,'Run 2'!E39,'Run 3'!E39,'Run 4'!E39,'Run 5'!E39,'Run 6'!E39,'Run 7'!E39,'Run 8'!E39,'Run 9'!E39,'Run 10'!E39,'Run 11'!E39)</f>
        <v>94.51</v>
      </c>
      <c r="F39" s="3">
        <f>MIN('Run 1'!E39,'Run 2'!E39,'Run 3'!E39,'Run 4'!E39,'Run 5'!E39,'Run 6'!E39,'Run 7'!E39,'Run 8'!E39,'Run 9'!E39,'Run 10'!E39,'Run 11'!E39)</f>
        <v>93.94</v>
      </c>
      <c r="G39" s="3">
        <f>MAX('Run 1'!E39,'Run 2'!E39,'Run 3'!E39,'Run 4'!E39,'Run 5'!E39,'Run 6'!E39,'Run 7'!E39,'Run 8'!E39,'Run 9'!E39,'Run 10'!E39,'Run 11'!E39)</f>
        <v>96.07</v>
      </c>
      <c r="H39" s="1">
        <f>COUNTIF('Run 1'!I39,"Yes")+COUNTIF('Run 2'!I39,"Yes")+COUNTIF('Run 3'!I39,"Yes")+COUNTIF('Run 4'!I39,"Yes")+COUNTIF('Run 5'!I39,"Yes")+COUNTIF('Run 6'!I39,"Yes")+COUNTIF('Run 7'!I39,"Yes")+COUNTIF('Run 8'!I39,"Yes")+COUNTIF('Run 9'!I39,"Yes")+COUNTIF('Run 10'!I39,"Yes")+COUNTIF('Run 11'!I39,"Yes")</f>
        <v>0</v>
      </c>
    </row>
    <row r="40" spans="1:8" x14ac:dyDescent="0.3">
      <c r="A40" s="1" t="s">
        <v>20</v>
      </c>
      <c r="B40" s="1" t="s">
        <v>18</v>
      </c>
      <c r="C40" s="1" t="s">
        <v>16</v>
      </c>
      <c r="D40" s="1">
        <v>65536</v>
      </c>
      <c r="E40" s="3">
        <f>MEDIAN('Run 1'!E40,'Run 2'!E40,'Run 3'!E40,'Run 4'!E40,'Run 5'!E40,'Run 6'!E40,'Run 7'!E40,'Run 8'!E40,'Run 9'!E40,'Run 10'!E40,'Run 11'!E40)</f>
        <v>60.8</v>
      </c>
      <c r="F40" s="3">
        <f>MIN('Run 1'!E40,'Run 2'!E40,'Run 3'!E40,'Run 4'!E40,'Run 5'!E40,'Run 6'!E40,'Run 7'!E40,'Run 8'!E40,'Run 9'!E40,'Run 10'!E40,'Run 11'!E40)</f>
        <v>52.71</v>
      </c>
      <c r="G40" s="3">
        <f>MAX('Run 1'!E40,'Run 2'!E40,'Run 3'!E40,'Run 4'!E40,'Run 5'!E40,'Run 6'!E40,'Run 7'!E40,'Run 8'!E40,'Run 9'!E40,'Run 10'!E40,'Run 11'!E40)</f>
        <v>73.709999999999994</v>
      </c>
      <c r="H40" s="1">
        <f>COUNTIF('Run 1'!I40,"Yes")+COUNTIF('Run 2'!I40,"Yes")+COUNTIF('Run 3'!I40,"Yes")+COUNTIF('Run 4'!I40,"Yes")+COUNTIF('Run 5'!I40,"Yes")+COUNTIF('Run 6'!I40,"Yes")+COUNTIF('Run 7'!I40,"Yes")+COUNTIF('Run 8'!I40,"Yes")+COUNTIF('Run 9'!I40,"Yes")+COUNTIF('Run 10'!I40,"Yes")+COUNTIF('Run 11'!I40,"Yes")</f>
        <v>11</v>
      </c>
    </row>
    <row r="41" spans="1:8" x14ac:dyDescent="0.3">
      <c r="A41" s="1" t="s">
        <v>20</v>
      </c>
      <c r="B41" s="1" t="s">
        <v>18</v>
      </c>
      <c r="C41" s="1" t="s">
        <v>17</v>
      </c>
      <c r="D41" s="1">
        <v>65536</v>
      </c>
      <c r="E41" s="3">
        <f>MEDIAN('Run 1'!E41,'Run 2'!E41,'Run 3'!E41,'Run 4'!E41,'Run 5'!E41,'Run 6'!E41,'Run 7'!E41,'Run 8'!E41,'Run 9'!E41,'Run 10'!E41,'Run 11'!E41)</f>
        <v>102</v>
      </c>
      <c r="F41" s="3">
        <f>MIN('Run 1'!E41,'Run 2'!E41,'Run 3'!E41,'Run 4'!E41,'Run 5'!E41,'Run 6'!E41,'Run 7'!E41,'Run 8'!E41,'Run 9'!E41,'Run 10'!E41,'Run 11'!E41)</f>
        <v>94</v>
      </c>
      <c r="G41" s="3">
        <f>MAX('Run 1'!E41,'Run 2'!E41,'Run 3'!E41,'Run 4'!E41,'Run 5'!E41,'Run 6'!E41,'Run 7'!E41,'Run 8'!E41,'Run 9'!E41,'Run 10'!E41,'Run 11'!E41)</f>
        <v>116.9</v>
      </c>
      <c r="H41" s="1">
        <f>COUNTIF('Run 1'!I41,"Yes")+COUNTIF('Run 2'!I41,"Yes")+COUNTIF('Run 3'!I41,"Yes")+COUNTIF('Run 4'!I41,"Yes")+COUNTIF('Run 5'!I41,"Yes")+COUNTIF('Run 6'!I41,"Yes")+COUNTIF('Run 7'!I41,"Yes")+COUNTIF('Run 8'!I41,"Yes")+COUNTIF('Run 9'!I41,"Yes")+COUNTIF('Run 10'!I41,"Yes")+COUNTIF('Run 11'!I41,"Yes")</f>
        <v>6</v>
      </c>
    </row>
    <row r="42" spans="1:8" x14ac:dyDescent="0.3">
      <c r="A42" s="1" t="s">
        <v>20</v>
      </c>
      <c r="B42" s="1" t="s">
        <v>19</v>
      </c>
      <c r="C42" s="1" t="s">
        <v>16</v>
      </c>
      <c r="D42" s="1">
        <v>65536</v>
      </c>
      <c r="E42" s="3">
        <f>MEDIAN('Run 1'!E42,'Run 2'!E42,'Run 3'!E42,'Run 4'!E42,'Run 5'!E42,'Run 6'!E42,'Run 7'!E42,'Run 8'!E42,'Run 9'!E42,'Run 10'!E42,'Run 11'!E42)</f>
        <v>33.54</v>
      </c>
      <c r="F42" s="3">
        <f>MIN('Run 1'!E42,'Run 2'!E42,'Run 3'!E42,'Run 4'!E42,'Run 5'!E42,'Run 6'!E42,'Run 7'!E42,'Run 8'!E42,'Run 9'!E42,'Run 10'!E42,'Run 11'!E42)</f>
        <v>32.619999999999997</v>
      </c>
      <c r="G42" s="3">
        <f>MAX('Run 1'!E42,'Run 2'!E42,'Run 3'!E42,'Run 4'!E42,'Run 5'!E42,'Run 6'!E42,'Run 7'!E42,'Run 8'!E42,'Run 9'!E42,'Run 10'!E42,'Run 11'!E42)</f>
        <v>33.94</v>
      </c>
      <c r="H42" s="1">
        <f>COUNTIF('Run 1'!I42,"Yes")+COUNTIF('Run 2'!I42,"Yes")+COUNTIF('Run 3'!I42,"Yes")+COUNTIF('Run 4'!I42,"Yes")+COUNTIF('Run 5'!I42,"Yes")+COUNTIF('Run 6'!I42,"Yes")+COUNTIF('Run 7'!I42,"Yes")+COUNTIF('Run 8'!I42,"Yes")+COUNTIF('Run 9'!I42,"Yes")+COUNTIF('Run 10'!I42,"Yes")+COUNTIF('Run 11'!I42,"Yes")</f>
        <v>2</v>
      </c>
    </row>
    <row r="43" spans="1:8" x14ac:dyDescent="0.3">
      <c r="A43" s="1" t="s">
        <v>20</v>
      </c>
      <c r="B43" s="1" t="s">
        <v>19</v>
      </c>
      <c r="C43" s="1" t="s">
        <v>17</v>
      </c>
      <c r="D43" s="1">
        <v>65536</v>
      </c>
      <c r="E43" s="3">
        <f>MEDIAN('Run 1'!E43,'Run 2'!E43,'Run 3'!E43,'Run 4'!E43,'Run 5'!E43,'Run 6'!E43,'Run 7'!E43,'Run 8'!E43,'Run 9'!E43,'Run 10'!E43,'Run 11'!E43)</f>
        <v>119.48</v>
      </c>
      <c r="F43" s="3">
        <f>MIN('Run 1'!E43,'Run 2'!E43,'Run 3'!E43,'Run 4'!E43,'Run 5'!E43,'Run 6'!E43,'Run 7'!E43,'Run 8'!E43,'Run 9'!E43,'Run 10'!E43,'Run 11'!E43)</f>
        <v>115.11</v>
      </c>
      <c r="G43" s="3">
        <f>MAX('Run 1'!E43,'Run 2'!E43,'Run 3'!E43,'Run 4'!E43,'Run 5'!E43,'Run 6'!E43,'Run 7'!E43,'Run 8'!E43,'Run 9'!E43,'Run 10'!E43,'Run 11'!E43)</f>
        <v>124.09</v>
      </c>
      <c r="H43" s="1">
        <f>COUNTIF('Run 1'!I43,"Yes")+COUNTIF('Run 2'!I43,"Yes")+COUNTIF('Run 3'!I43,"Yes")+COUNTIF('Run 4'!I43,"Yes")+COUNTIF('Run 5'!I43,"Yes")+COUNTIF('Run 6'!I43,"Yes")+COUNTIF('Run 7'!I43,"Yes")+COUNTIF('Run 8'!I43,"Yes")+COUNTIF('Run 9'!I43,"Yes")+COUNTIF('Run 10'!I43,"Yes")+COUNTIF('Run 11'!I43,"Yes")</f>
        <v>0</v>
      </c>
    </row>
    <row r="44" spans="1:8" x14ac:dyDescent="0.3">
      <c r="A44" s="1" t="s">
        <v>20</v>
      </c>
      <c r="B44" s="1" t="s">
        <v>15</v>
      </c>
      <c r="C44" s="1" t="s">
        <v>16</v>
      </c>
      <c r="D44" s="1">
        <v>262144</v>
      </c>
      <c r="E44" s="3">
        <f>MEDIAN('Run 1'!E44,'Run 2'!E44,'Run 3'!E44,'Run 4'!E44,'Run 5'!E44,'Run 6'!E44,'Run 7'!E44,'Run 8'!E44,'Run 9'!E44,'Run 10'!E44,'Run 11'!E44)</f>
        <v>76.77</v>
      </c>
      <c r="F44" s="3">
        <f>MIN('Run 1'!E44,'Run 2'!E44,'Run 3'!E44,'Run 4'!E44,'Run 5'!E44,'Run 6'!E44,'Run 7'!E44,'Run 8'!E44,'Run 9'!E44,'Run 10'!E44,'Run 11'!E44)</f>
        <v>73.88</v>
      </c>
      <c r="G44" s="3">
        <f>MAX('Run 1'!E44,'Run 2'!E44,'Run 3'!E44,'Run 4'!E44,'Run 5'!E44,'Run 6'!E44,'Run 7'!E44,'Run 8'!E44,'Run 9'!E44,'Run 10'!E44,'Run 11'!E44)</f>
        <v>89.54</v>
      </c>
      <c r="H44" s="1">
        <f>COUNTIF('Run 1'!I44,"Yes")+COUNTIF('Run 2'!I44,"Yes")+COUNTIF('Run 3'!I44,"Yes")+COUNTIF('Run 4'!I44,"Yes")+COUNTIF('Run 5'!I44,"Yes")+COUNTIF('Run 6'!I44,"Yes")+COUNTIF('Run 7'!I44,"Yes")+COUNTIF('Run 8'!I44,"Yes")+COUNTIF('Run 9'!I44,"Yes")+COUNTIF('Run 10'!I44,"Yes")+COUNTIF('Run 11'!I44,"Yes")</f>
        <v>9</v>
      </c>
    </row>
    <row r="45" spans="1:8" x14ac:dyDescent="0.3">
      <c r="A45" s="1" t="s">
        <v>20</v>
      </c>
      <c r="B45" s="1" t="s">
        <v>15</v>
      </c>
      <c r="C45" s="1" t="s">
        <v>17</v>
      </c>
      <c r="D45" s="1">
        <v>262144</v>
      </c>
      <c r="E45" s="3">
        <f>MEDIAN('Run 1'!E45,'Run 2'!E45,'Run 3'!E45,'Run 4'!E45,'Run 5'!E45,'Run 6'!E45,'Run 7'!E45,'Run 8'!E45,'Run 9'!E45,'Run 10'!E45,'Run 11'!E45)</f>
        <v>149.69999999999999</v>
      </c>
      <c r="F45" s="3">
        <f>MIN('Run 1'!E45,'Run 2'!E45,'Run 3'!E45,'Run 4'!E45,'Run 5'!E45,'Run 6'!E45,'Run 7'!E45,'Run 8'!E45,'Run 9'!E45,'Run 10'!E45,'Run 11'!E45)</f>
        <v>145.41</v>
      </c>
      <c r="G45" s="3">
        <f>MAX('Run 1'!E45,'Run 2'!E45,'Run 3'!E45,'Run 4'!E45,'Run 5'!E45,'Run 6'!E45,'Run 7'!E45,'Run 8'!E45,'Run 9'!E45,'Run 10'!E45,'Run 11'!E45)</f>
        <v>201.07</v>
      </c>
      <c r="H45" s="1">
        <f>COUNTIF('Run 1'!I45,"Yes")+COUNTIF('Run 2'!I45,"Yes")+COUNTIF('Run 3'!I45,"Yes")+COUNTIF('Run 4'!I45,"Yes")+COUNTIF('Run 5'!I45,"Yes")+COUNTIF('Run 6'!I45,"Yes")+COUNTIF('Run 7'!I45,"Yes")+COUNTIF('Run 8'!I45,"Yes")+COUNTIF('Run 9'!I45,"Yes")+COUNTIF('Run 10'!I45,"Yes")+COUNTIF('Run 11'!I45,"Yes")</f>
        <v>1</v>
      </c>
    </row>
    <row r="46" spans="1:8" x14ac:dyDescent="0.3">
      <c r="A46" s="1" t="s">
        <v>20</v>
      </c>
      <c r="B46" s="1" t="s">
        <v>18</v>
      </c>
      <c r="C46" s="1" t="s">
        <v>16</v>
      </c>
      <c r="D46" s="1">
        <v>262144</v>
      </c>
      <c r="E46" s="3">
        <f>MEDIAN('Run 1'!E46,'Run 2'!E46,'Run 3'!E46,'Run 4'!E46,'Run 5'!E46,'Run 6'!E46,'Run 7'!E46,'Run 8'!E46,'Run 9'!E46,'Run 10'!E46,'Run 11'!E46)</f>
        <v>83.27</v>
      </c>
      <c r="F46" s="3">
        <f>MIN('Run 1'!E46,'Run 2'!E46,'Run 3'!E46,'Run 4'!E46,'Run 5'!E46,'Run 6'!E46,'Run 7'!E46,'Run 8'!E46,'Run 9'!E46,'Run 10'!E46,'Run 11'!E46)</f>
        <v>73.22</v>
      </c>
      <c r="G46" s="3">
        <f>MAX('Run 1'!E46,'Run 2'!E46,'Run 3'!E46,'Run 4'!E46,'Run 5'!E46,'Run 6'!E46,'Run 7'!E46,'Run 8'!E46,'Run 9'!E46,'Run 10'!E46,'Run 11'!E46)</f>
        <v>96.35</v>
      </c>
      <c r="H46" s="1">
        <f>COUNTIF('Run 1'!I46,"Yes")+COUNTIF('Run 2'!I46,"Yes")+COUNTIF('Run 3'!I46,"Yes")+COUNTIF('Run 4'!I46,"Yes")+COUNTIF('Run 5'!I46,"Yes")+COUNTIF('Run 6'!I46,"Yes")+COUNTIF('Run 7'!I46,"Yes")+COUNTIF('Run 8'!I46,"Yes")+COUNTIF('Run 9'!I46,"Yes")+COUNTIF('Run 10'!I46,"Yes")+COUNTIF('Run 11'!I46,"Yes")</f>
        <v>3</v>
      </c>
    </row>
    <row r="47" spans="1:8" x14ac:dyDescent="0.3">
      <c r="A47" s="1" t="s">
        <v>20</v>
      </c>
      <c r="B47" s="1" t="s">
        <v>18</v>
      </c>
      <c r="C47" s="1" t="s">
        <v>17</v>
      </c>
      <c r="D47" s="1">
        <v>262144</v>
      </c>
      <c r="E47" s="3">
        <f>MEDIAN('Run 1'!E47,'Run 2'!E47,'Run 3'!E47,'Run 4'!E47,'Run 5'!E47,'Run 6'!E47,'Run 7'!E47,'Run 8'!E47,'Run 9'!E47,'Run 10'!E47,'Run 11'!E47)</f>
        <v>190.87</v>
      </c>
      <c r="F47" s="3">
        <f>MIN('Run 1'!E47,'Run 2'!E47,'Run 3'!E47,'Run 4'!E47,'Run 5'!E47,'Run 6'!E47,'Run 7'!E47,'Run 8'!E47,'Run 9'!E47,'Run 10'!E47,'Run 11'!E47)</f>
        <v>180.52</v>
      </c>
      <c r="G47" s="3">
        <f>MAX('Run 1'!E47,'Run 2'!E47,'Run 3'!E47,'Run 4'!E47,'Run 5'!E47,'Run 6'!E47,'Run 7'!E47,'Run 8'!E47,'Run 9'!E47,'Run 10'!E47,'Run 11'!E47)</f>
        <v>202.29</v>
      </c>
      <c r="H47" s="1">
        <f>COUNTIF('Run 1'!I47,"Yes")+COUNTIF('Run 2'!I47,"Yes")+COUNTIF('Run 3'!I47,"Yes")+COUNTIF('Run 4'!I47,"Yes")+COUNTIF('Run 5'!I47,"Yes")+COUNTIF('Run 6'!I47,"Yes")+COUNTIF('Run 7'!I47,"Yes")+COUNTIF('Run 8'!I47,"Yes")+COUNTIF('Run 9'!I47,"Yes")+COUNTIF('Run 10'!I47,"Yes")+COUNTIF('Run 11'!I47,"Yes")</f>
        <v>2</v>
      </c>
    </row>
    <row r="48" spans="1:8" x14ac:dyDescent="0.3">
      <c r="A48" s="1" t="s">
        <v>20</v>
      </c>
      <c r="B48" s="1" t="s">
        <v>19</v>
      </c>
      <c r="C48" s="1" t="s">
        <v>16</v>
      </c>
      <c r="D48" s="1">
        <v>262144</v>
      </c>
      <c r="E48" s="3">
        <f>MEDIAN('Run 1'!E48,'Run 2'!E48,'Run 3'!E48,'Run 4'!E48,'Run 5'!E48,'Run 6'!E48,'Run 7'!E48,'Run 8'!E48,'Run 9'!E48,'Run 10'!E48,'Run 11'!E48)</f>
        <v>43.99</v>
      </c>
      <c r="F48" s="3">
        <f>MIN('Run 1'!E48,'Run 2'!E48,'Run 3'!E48,'Run 4'!E48,'Run 5'!E48,'Run 6'!E48,'Run 7'!E48,'Run 8'!E48,'Run 9'!E48,'Run 10'!E48,'Run 11'!E48)</f>
        <v>42.97</v>
      </c>
      <c r="G48" s="3">
        <f>MAX('Run 1'!E48,'Run 2'!E48,'Run 3'!E48,'Run 4'!E48,'Run 5'!E48,'Run 6'!E48,'Run 7'!E48,'Run 8'!E48,'Run 9'!E48,'Run 10'!E48,'Run 11'!E48)</f>
        <v>45.02</v>
      </c>
      <c r="H48" s="1">
        <f>COUNTIF('Run 1'!I48,"Yes")+COUNTIF('Run 2'!I48,"Yes")+COUNTIF('Run 3'!I48,"Yes")+COUNTIF('Run 4'!I48,"Yes")+COUNTIF('Run 5'!I48,"Yes")+COUNTIF('Run 6'!I48,"Yes")+COUNTIF('Run 7'!I48,"Yes")+COUNTIF('Run 8'!I48,"Yes")+COUNTIF('Run 9'!I48,"Yes")+COUNTIF('Run 10'!I48,"Yes")+COUNTIF('Run 11'!I48,"Yes")</f>
        <v>6</v>
      </c>
    </row>
    <row r="49" spans="1:8" x14ac:dyDescent="0.3">
      <c r="A49" s="1" t="s">
        <v>20</v>
      </c>
      <c r="B49" s="1" t="s">
        <v>19</v>
      </c>
      <c r="C49" s="1" t="s">
        <v>17</v>
      </c>
      <c r="D49" s="1">
        <v>262144</v>
      </c>
      <c r="E49" s="3">
        <f>MEDIAN('Run 1'!E49,'Run 2'!E49,'Run 3'!E49,'Run 4'!E49,'Run 5'!E49,'Run 6'!E49,'Run 7'!E49,'Run 8'!E49,'Run 9'!E49,'Run 10'!E49,'Run 11'!E49)</f>
        <v>189.16</v>
      </c>
      <c r="F49" s="3">
        <f>MIN('Run 1'!E49,'Run 2'!E49,'Run 3'!E49,'Run 4'!E49,'Run 5'!E49,'Run 6'!E49,'Run 7'!E49,'Run 8'!E49,'Run 9'!E49,'Run 10'!E49,'Run 11'!E49)</f>
        <v>184.46</v>
      </c>
      <c r="G49" s="3">
        <f>MAX('Run 1'!E49,'Run 2'!E49,'Run 3'!E49,'Run 4'!E49,'Run 5'!E49,'Run 6'!E49,'Run 7'!E49,'Run 8'!E49,'Run 9'!E49,'Run 10'!E49,'Run 11'!E49)</f>
        <v>209.8</v>
      </c>
      <c r="H49" s="1">
        <f>COUNTIF('Run 1'!I49,"Yes")+COUNTIF('Run 2'!I49,"Yes")+COUNTIF('Run 3'!I49,"Yes")+COUNTIF('Run 4'!I49,"Yes")+COUNTIF('Run 5'!I49,"Yes")+COUNTIF('Run 6'!I49,"Yes")+COUNTIF('Run 7'!I49,"Yes")+COUNTIF('Run 8'!I49,"Yes")+COUNTIF('Run 9'!I49,"Yes")+COUNTIF('Run 10'!I49,"Yes")+COUNTIF('Run 11'!I49,"Yes")</f>
        <v>0</v>
      </c>
    </row>
    <row r="50" spans="1:8" x14ac:dyDescent="0.3">
      <c r="A50" s="1" t="s">
        <v>21</v>
      </c>
      <c r="B50" s="1" t="s">
        <v>15</v>
      </c>
      <c r="C50" s="1" t="s">
        <v>16</v>
      </c>
      <c r="D50" s="1">
        <v>4096</v>
      </c>
      <c r="E50" s="3">
        <f>MEDIAN('Run 1'!E50,'Run 2'!E50,'Run 3'!E50,'Run 4'!E50,'Run 5'!E50,'Run 6'!E50,'Run 7'!E50,'Run 8'!E50,'Run 9'!E50,'Run 10'!E50,'Run 11'!E50)</f>
        <v>17.14</v>
      </c>
      <c r="F50" s="3">
        <f>MIN('Run 1'!E50,'Run 2'!E50,'Run 3'!E50,'Run 4'!E50,'Run 5'!E50,'Run 6'!E50,'Run 7'!E50,'Run 8'!E50,'Run 9'!E50,'Run 10'!E50,'Run 11'!E50)</f>
        <v>16.66</v>
      </c>
      <c r="G50" s="3">
        <f>MAX('Run 1'!E50,'Run 2'!E50,'Run 3'!E50,'Run 4'!E50,'Run 5'!E50,'Run 6'!E50,'Run 7'!E50,'Run 8'!E50,'Run 9'!E50,'Run 10'!E50,'Run 11'!E50)</f>
        <v>22.23</v>
      </c>
      <c r="H50" s="1">
        <f>COUNTIF('Run 1'!I50,"Yes")+COUNTIF('Run 2'!I50,"Yes")+COUNTIF('Run 3'!I50,"Yes")+COUNTIF('Run 4'!I50,"Yes")+COUNTIF('Run 5'!I50,"Yes")+COUNTIF('Run 6'!I50,"Yes")+COUNTIF('Run 7'!I50,"Yes")+COUNTIF('Run 8'!I50,"Yes")+COUNTIF('Run 9'!I50,"Yes")+COUNTIF('Run 10'!I50,"Yes")+COUNTIF('Run 11'!I50,"Yes")</f>
        <v>0</v>
      </c>
    </row>
    <row r="51" spans="1:8" x14ac:dyDescent="0.3">
      <c r="A51" s="1" t="s">
        <v>21</v>
      </c>
      <c r="B51" s="1" t="s">
        <v>15</v>
      </c>
      <c r="C51" s="1" t="s">
        <v>17</v>
      </c>
      <c r="D51" s="1">
        <v>4096</v>
      </c>
      <c r="E51" s="3">
        <f>MEDIAN('Run 1'!E51,'Run 2'!E51,'Run 3'!E51,'Run 4'!E51,'Run 5'!E51,'Run 6'!E51,'Run 7'!E51,'Run 8'!E51,'Run 9'!E51,'Run 10'!E51,'Run 11'!E51)</f>
        <v>58.95</v>
      </c>
      <c r="F51" s="3">
        <f>MIN('Run 1'!E51,'Run 2'!E51,'Run 3'!E51,'Run 4'!E51,'Run 5'!E51,'Run 6'!E51,'Run 7'!E51,'Run 8'!E51,'Run 9'!E51,'Run 10'!E51,'Run 11'!E51)</f>
        <v>58.25</v>
      </c>
      <c r="G51" s="3">
        <f>MAX('Run 1'!E51,'Run 2'!E51,'Run 3'!E51,'Run 4'!E51,'Run 5'!E51,'Run 6'!E51,'Run 7'!E51,'Run 8'!E51,'Run 9'!E51,'Run 10'!E51,'Run 11'!E51)</f>
        <v>64.94</v>
      </c>
      <c r="H51" s="1">
        <f>COUNTIF('Run 1'!I51,"Yes")+COUNTIF('Run 2'!I51,"Yes")+COUNTIF('Run 3'!I51,"Yes")+COUNTIF('Run 4'!I51,"Yes")+COUNTIF('Run 5'!I51,"Yes")+COUNTIF('Run 6'!I51,"Yes")+COUNTIF('Run 7'!I51,"Yes")+COUNTIF('Run 8'!I51,"Yes")+COUNTIF('Run 9'!I51,"Yes")+COUNTIF('Run 10'!I51,"Yes")+COUNTIF('Run 11'!I51,"Yes")</f>
        <v>1</v>
      </c>
    </row>
    <row r="52" spans="1:8" x14ac:dyDescent="0.3">
      <c r="A52" s="1" t="s">
        <v>21</v>
      </c>
      <c r="B52" s="1" t="s">
        <v>18</v>
      </c>
      <c r="C52" s="1" t="s">
        <v>16</v>
      </c>
      <c r="D52" s="1">
        <v>4096</v>
      </c>
      <c r="E52" s="3">
        <f>MEDIAN('Run 1'!E52,'Run 2'!E52,'Run 3'!E52,'Run 4'!E52,'Run 5'!E52,'Run 6'!E52,'Run 7'!E52,'Run 8'!E52,'Run 9'!E52,'Run 10'!E52,'Run 11'!E52)</f>
        <v>14.8</v>
      </c>
      <c r="F52" s="3">
        <f>MIN('Run 1'!E52,'Run 2'!E52,'Run 3'!E52,'Run 4'!E52,'Run 5'!E52,'Run 6'!E52,'Run 7'!E52,'Run 8'!E52,'Run 9'!E52,'Run 10'!E52,'Run 11'!E52)</f>
        <v>14.2</v>
      </c>
      <c r="G52" s="3">
        <f>MAX('Run 1'!E52,'Run 2'!E52,'Run 3'!E52,'Run 4'!E52,'Run 5'!E52,'Run 6'!E52,'Run 7'!E52,'Run 8'!E52,'Run 9'!E52,'Run 10'!E52,'Run 11'!E52)</f>
        <v>16.02</v>
      </c>
      <c r="H52" s="1">
        <f>COUNTIF('Run 1'!I52,"Yes")+COUNTIF('Run 2'!I52,"Yes")+COUNTIF('Run 3'!I52,"Yes")+COUNTIF('Run 4'!I52,"Yes")+COUNTIF('Run 5'!I52,"Yes")+COUNTIF('Run 6'!I52,"Yes")+COUNTIF('Run 7'!I52,"Yes")+COUNTIF('Run 8'!I52,"Yes")+COUNTIF('Run 9'!I52,"Yes")+COUNTIF('Run 10'!I52,"Yes")+COUNTIF('Run 11'!I52,"Yes")</f>
        <v>6</v>
      </c>
    </row>
    <row r="53" spans="1:8" x14ac:dyDescent="0.3">
      <c r="A53" s="1" t="s">
        <v>21</v>
      </c>
      <c r="B53" s="1" t="s">
        <v>18</v>
      </c>
      <c r="C53" s="1" t="s">
        <v>17</v>
      </c>
      <c r="D53" s="1">
        <v>4096</v>
      </c>
      <c r="E53" s="3">
        <f>MEDIAN('Run 1'!E53,'Run 2'!E53,'Run 3'!E53,'Run 4'!E53,'Run 5'!E53,'Run 6'!E53,'Run 7'!E53,'Run 8'!E53,'Run 9'!E53,'Run 10'!E53,'Run 11'!E53)</f>
        <v>38.549999999999997</v>
      </c>
      <c r="F53" s="3">
        <f>MIN('Run 1'!E53,'Run 2'!E53,'Run 3'!E53,'Run 4'!E53,'Run 5'!E53,'Run 6'!E53,'Run 7'!E53,'Run 8'!E53,'Run 9'!E53,'Run 10'!E53,'Run 11'!E53)</f>
        <v>37.46</v>
      </c>
      <c r="G53" s="3">
        <f>MAX('Run 1'!E53,'Run 2'!E53,'Run 3'!E53,'Run 4'!E53,'Run 5'!E53,'Run 6'!E53,'Run 7'!E53,'Run 8'!E53,'Run 9'!E53,'Run 10'!E53,'Run 11'!E53)</f>
        <v>47.17</v>
      </c>
      <c r="H53" s="1">
        <f>COUNTIF('Run 1'!I53,"Yes")+COUNTIF('Run 2'!I53,"Yes")+COUNTIF('Run 3'!I53,"Yes")+COUNTIF('Run 4'!I53,"Yes")+COUNTIF('Run 5'!I53,"Yes")+COUNTIF('Run 6'!I53,"Yes")+COUNTIF('Run 7'!I53,"Yes")+COUNTIF('Run 8'!I53,"Yes")+COUNTIF('Run 9'!I53,"Yes")+COUNTIF('Run 10'!I53,"Yes")+COUNTIF('Run 11'!I53,"Yes")</f>
        <v>3</v>
      </c>
    </row>
    <row r="54" spans="1:8" x14ac:dyDescent="0.3">
      <c r="A54" s="1" t="s">
        <v>21</v>
      </c>
      <c r="B54" s="1" t="s">
        <v>19</v>
      </c>
      <c r="C54" s="1" t="s">
        <v>16</v>
      </c>
      <c r="D54" s="1">
        <v>4096</v>
      </c>
      <c r="E54" s="3">
        <f>MEDIAN('Run 1'!E54,'Run 2'!E54,'Run 3'!E54,'Run 4'!E54,'Run 5'!E54,'Run 6'!E54,'Run 7'!E54,'Run 8'!E54,'Run 9'!E54,'Run 10'!E54,'Run 11'!E54)</f>
        <v>19.93</v>
      </c>
      <c r="F54" s="3">
        <f>MIN('Run 1'!E54,'Run 2'!E54,'Run 3'!E54,'Run 4'!E54,'Run 5'!E54,'Run 6'!E54,'Run 7'!E54,'Run 8'!E54,'Run 9'!E54,'Run 10'!E54,'Run 11'!E54)</f>
        <v>18.690000000000001</v>
      </c>
      <c r="G54" s="3">
        <f>MAX('Run 1'!E54,'Run 2'!E54,'Run 3'!E54,'Run 4'!E54,'Run 5'!E54,'Run 6'!E54,'Run 7'!E54,'Run 8'!E54,'Run 9'!E54,'Run 10'!E54,'Run 11'!E54)</f>
        <v>20.64</v>
      </c>
      <c r="H54" s="1">
        <f>COUNTIF('Run 1'!I54,"Yes")+COUNTIF('Run 2'!I54,"Yes")+COUNTIF('Run 3'!I54,"Yes")+COUNTIF('Run 4'!I54,"Yes")+COUNTIF('Run 5'!I54,"Yes")+COUNTIF('Run 6'!I54,"Yes")+COUNTIF('Run 7'!I54,"Yes")+COUNTIF('Run 8'!I54,"Yes")+COUNTIF('Run 9'!I54,"Yes")+COUNTIF('Run 10'!I54,"Yes")+COUNTIF('Run 11'!I54,"Yes")</f>
        <v>4</v>
      </c>
    </row>
    <row r="55" spans="1:8" x14ac:dyDescent="0.3">
      <c r="A55" s="1" t="s">
        <v>21</v>
      </c>
      <c r="B55" s="1" t="s">
        <v>19</v>
      </c>
      <c r="C55" s="1" t="s">
        <v>17</v>
      </c>
      <c r="D55" s="1">
        <v>4096</v>
      </c>
      <c r="E55" s="3">
        <f>MEDIAN('Run 1'!E55,'Run 2'!E55,'Run 3'!E55,'Run 4'!E55,'Run 5'!E55,'Run 6'!E55,'Run 7'!E55,'Run 8'!E55,'Run 9'!E55,'Run 10'!E55,'Run 11'!E55)</f>
        <v>62.55</v>
      </c>
      <c r="F55" s="3">
        <f>MIN('Run 1'!E55,'Run 2'!E55,'Run 3'!E55,'Run 4'!E55,'Run 5'!E55,'Run 6'!E55,'Run 7'!E55,'Run 8'!E55,'Run 9'!E55,'Run 10'!E55,'Run 11'!E55)</f>
        <v>60.38</v>
      </c>
      <c r="G55" s="3">
        <f>MAX('Run 1'!E55,'Run 2'!E55,'Run 3'!E55,'Run 4'!E55,'Run 5'!E55,'Run 6'!E55,'Run 7'!E55,'Run 8'!E55,'Run 9'!E55,'Run 10'!E55,'Run 11'!E55)</f>
        <v>63.03</v>
      </c>
      <c r="H55" s="1">
        <f>COUNTIF('Run 1'!I55,"Yes")+COUNTIF('Run 2'!I55,"Yes")+COUNTIF('Run 3'!I55,"Yes")+COUNTIF('Run 4'!I55,"Yes")+COUNTIF('Run 5'!I55,"Yes")+COUNTIF('Run 6'!I55,"Yes")+COUNTIF('Run 7'!I55,"Yes")+COUNTIF('Run 8'!I55,"Yes")+COUNTIF('Run 9'!I55,"Yes")+COUNTIF('Run 10'!I55,"Yes")+COUNTIF('Run 11'!I55,"Yes")</f>
        <v>0</v>
      </c>
    </row>
    <row r="56" spans="1:8" x14ac:dyDescent="0.3">
      <c r="A56" s="1" t="s">
        <v>21</v>
      </c>
      <c r="B56" s="1" t="s">
        <v>15</v>
      </c>
      <c r="C56" s="1" t="s">
        <v>16</v>
      </c>
      <c r="D56" s="1">
        <v>16384</v>
      </c>
      <c r="E56" s="3">
        <f>MEDIAN('Run 1'!E56,'Run 2'!E56,'Run 3'!E56,'Run 4'!E56,'Run 5'!E56,'Run 6'!E56,'Run 7'!E56,'Run 8'!E56,'Run 9'!E56,'Run 10'!E56,'Run 11'!E56)</f>
        <v>18.850000000000001</v>
      </c>
      <c r="F56" s="3">
        <f>MIN('Run 1'!E56,'Run 2'!E56,'Run 3'!E56,'Run 4'!E56,'Run 5'!E56,'Run 6'!E56,'Run 7'!E56,'Run 8'!E56,'Run 9'!E56,'Run 10'!E56,'Run 11'!E56)</f>
        <v>17.93</v>
      </c>
      <c r="G56" s="3">
        <f>MAX('Run 1'!E56,'Run 2'!E56,'Run 3'!E56,'Run 4'!E56,'Run 5'!E56,'Run 6'!E56,'Run 7'!E56,'Run 8'!E56,'Run 9'!E56,'Run 10'!E56,'Run 11'!E56)</f>
        <v>23.9</v>
      </c>
      <c r="H56" s="1">
        <f>COUNTIF('Run 1'!I56,"Yes")+COUNTIF('Run 2'!I56,"Yes")+COUNTIF('Run 3'!I56,"Yes")+COUNTIF('Run 4'!I56,"Yes")+COUNTIF('Run 5'!I56,"Yes")+COUNTIF('Run 6'!I56,"Yes")+COUNTIF('Run 7'!I56,"Yes")+COUNTIF('Run 8'!I56,"Yes")+COUNTIF('Run 9'!I56,"Yes")+COUNTIF('Run 10'!I56,"Yes")+COUNTIF('Run 11'!I56,"Yes")</f>
        <v>7</v>
      </c>
    </row>
    <row r="57" spans="1:8" x14ac:dyDescent="0.3">
      <c r="A57" s="1" t="s">
        <v>21</v>
      </c>
      <c r="B57" s="1" t="s">
        <v>15</v>
      </c>
      <c r="C57" s="1" t="s">
        <v>17</v>
      </c>
      <c r="D57" s="1">
        <v>16384</v>
      </c>
      <c r="E57" s="3">
        <f>MEDIAN('Run 1'!E57,'Run 2'!E57,'Run 3'!E57,'Run 4'!E57,'Run 5'!E57,'Run 6'!E57,'Run 7'!E57,'Run 8'!E57,'Run 9'!E57,'Run 10'!E57,'Run 11'!E57)</f>
        <v>82.23</v>
      </c>
      <c r="F57" s="3">
        <f>MIN('Run 1'!E57,'Run 2'!E57,'Run 3'!E57,'Run 4'!E57,'Run 5'!E57,'Run 6'!E57,'Run 7'!E57,'Run 8'!E57,'Run 9'!E57,'Run 10'!E57,'Run 11'!E57)</f>
        <v>80.459999999999994</v>
      </c>
      <c r="G57" s="3">
        <f>MAX('Run 1'!E57,'Run 2'!E57,'Run 3'!E57,'Run 4'!E57,'Run 5'!E57,'Run 6'!E57,'Run 7'!E57,'Run 8'!E57,'Run 9'!E57,'Run 10'!E57,'Run 11'!E57)</f>
        <v>88.54</v>
      </c>
      <c r="H57" s="1">
        <f>COUNTIF('Run 1'!I57,"Yes")+COUNTIF('Run 2'!I57,"Yes")+COUNTIF('Run 3'!I57,"Yes")+COUNTIF('Run 4'!I57,"Yes")+COUNTIF('Run 5'!I57,"Yes")+COUNTIF('Run 6'!I57,"Yes")+COUNTIF('Run 7'!I57,"Yes")+COUNTIF('Run 8'!I57,"Yes")+COUNTIF('Run 9'!I57,"Yes")+COUNTIF('Run 10'!I57,"Yes")+COUNTIF('Run 11'!I57,"Yes")</f>
        <v>0</v>
      </c>
    </row>
    <row r="58" spans="1:8" x14ac:dyDescent="0.3">
      <c r="A58" s="1" t="s">
        <v>21</v>
      </c>
      <c r="B58" s="1" t="s">
        <v>18</v>
      </c>
      <c r="C58" s="1" t="s">
        <v>16</v>
      </c>
      <c r="D58" s="1">
        <v>16384</v>
      </c>
      <c r="E58" s="3">
        <f>MEDIAN('Run 1'!E58,'Run 2'!E58,'Run 3'!E58,'Run 4'!E58,'Run 5'!E58,'Run 6'!E58,'Run 7'!E58,'Run 8'!E58,'Run 9'!E58,'Run 10'!E58,'Run 11'!E58)</f>
        <v>17.18</v>
      </c>
      <c r="F58" s="3">
        <f>MIN('Run 1'!E58,'Run 2'!E58,'Run 3'!E58,'Run 4'!E58,'Run 5'!E58,'Run 6'!E58,'Run 7'!E58,'Run 8'!E58,'Run 9'!E58,'Run 10'!E58,'Run 11'!E58)</f>
        <v>15.84</v>
      </c>
      <c r="G58" s="3">
        <f>MAX('Run 1'!E58,'Run 2'!E58,'Run 3'!E58,'Run 4'!E58,'Run 5'!E58,'Run 6'!E58,'Run 7'!E58,'Run 8'!E58,'Run 9'!E58,'Run 10'!E58,'Run 11'!E58)</f>
        <v>23.18</v>
      </c>
      <c r="H58" s="1">
        <f>COUNTIF('Run 1'!I58,"Yes")+COUNTIF('Run 2'!I58,"Yes")+COUNTIF('Run 3'!I58,"Yes")+COUNTIF('Run 4'!I58,"Yes")+COUNTIF('Run 5'!I58,"Yes")+COUNTIF('Run 6'!I58,"Yes")+COUNTIF('Run 7'!I58,"Yes")+COUNTIF('Run 8'!I58,"Yes")+COUNTIF('Run 9'!I58,"Yes")+COUNTIF('Run 10'!I58,"Yes")+COUNTIF('Run 11'!I58,"Yes")</f>
        <v>6</v>
      </c>
    </row>
    <row r="59" spans="1:8" x14ac:dyDescent="0.3">
      <c r="A59" s="1" t="s">
        <v>21</v>
      </c>
      <c r="B59" s="1" t="s">
        <v>18</v>
      </c>
      <c r="C59" s="1" t="s">
        <v>17</v>
      </c>
      <c r="D59" s="1">
        <v>16384</v>
      </c>
      <c r="E59" s="3">
        <f>MEDIAN('Run 1'!E59,'Run 2'!E59,'Run 3'!E59,'Run 4'!E59,'Run 5'!E59,'Run 6'!E59,'Run 7'!E59,'Run 8'!E59,'Run 9'!E59,'Run 10'!E59,'Run 11'!E59)</f>
        <v>54.18</v>
      </c>
      <c r="F59" s="3">
        <f>MIN('Run 1'!E59,'Run 2'!E59,'Run 3'!E59,'Run 4'!E59,'Run 5'!E59,'Run 6'!E59,'Run 7'!E59,'Run 8'!E59,'Run 9'!E59,'Run 10'!E59,'Run 11'!E59)</f>
        <v>53.7</v>
      </c>
      <c r="G59" s="3">
        <f>MAX('Run 1'!E59,'Run 2'!E59,'Run 3'!E59,'Run 4'!E59,'Run 5'!E59,'Run 6'!E59,'Run 7'!E59,'Run 8'!E59,'Run 9'!E59,'Run 10'!E59,'Run 11'!E59)</f>
        <v>54.85</v>
      </c>
      <c r="H59" s="1">
        <f>COUNTIF('Run 1'!I59,"Yes")+COUNTIF('Run 2'!I59,"Yes")+COUNTIF('Run 3'!I59,"Yes")+COUNTIF('Run 4'!I59,"Yes")+COUNTIF('Run 5'!I59,"Yes")+COUNTIF('Run 6'!I59,"Yes")+COUNTIF('Run 7'!I59,"Yes")+COUNTIF('Run 8'!I59,"Yes")+COUNTIF('Run 9'!I59,"Yes")+COUNTIF('Run 10'!I59,"Yes")+COUNTIF('Run 11'!I59,"Yes")</f>
        <v>0</v>
      </c>
    </row>
    <row r="60" spans="1:8" x14ac:dyDescent="0.3">
      <c r="A60" s="1" t="s">
        <v>21</v>
      </c>
      <c r="B60" s="1" t="s">
        <v>19</v>
      </c>
      <c r="C60" s="1" t="s">
        <v>16</v>
      </c>
      <c r="D60" s="1">
        <v>16384</v>
      </c>
      <c r="E60" s="3">
        <f>MEDIAN('Run 1'!E60,'Run 2'!E60,'Run 3'!E60,'Run 4'!E60,'Run 5'!E60,'Run 6'!E60,'Run 7'!E60,'Run 8'!E60,'Run 9'!E60,'Run 10'!E60,'Run 11'!E60)</f>
        <v>23.73</v>
      </c>
      <c r="F60" s="3">
        <f>MIN('Run 1'!E60,'Run 2'!E60,'Run 3'!E60,'Run 4'!E60,'Run 5'!E60,'Run 6'!E60,'Run 7'!E60,'Run 8'!E60,'Run 9'!E60,'Run 10'!E60,'Run 11'!E60)</f>
        <v>22.81</v>
      </c>
      <c r="G60" s="3">
        <f>MAX('Run 1'!E60,'Run 2'!E60,'Run 3'!E60,'Run 4'!E60,'Run 5'!E60,'Run 6'!E60,'Run 7'!E60,'Run 8'!E60,'Run 9'!E60,'Run 10'!E60,'Run 11'!E60)</f>
        <v>25.07</v>
      </c>
      <c r="H60" s="1">
        <f>COUNTIF('Run 1'!I60,"Yes")+COUNTIF('Run 2'!I60,"Yes")+COUNTIF('Run 3'!I60,"Yes")+COUNTIF('Run 4'!I60,"Yes")+COUNTIF('Run 5'!I60,"Yes")+COUNTIF('Run 6'!I60,"Yes")+COUNTIF('Run 7'!I60,"Yes")+COUNTIF('Run 8'!I60,"Yes")+COUNTIF('Run 9'!I60,"Yes")+COUNTIF('Run 10'!I60,"Yes")+COUNTIF('Run 11'!I60,"Yes")</f>
        <v>2</v>
      </c>
    </row>
    <row r="61" spans="1:8" x14ac:dyDescent="0.3">
      <c r="A61" s="1" t="s">
        <v>21</v>
      </c>
      <c r="B61" s="1" t="s">
        <v>19</v>
      </c>
      <c r="C61" s="1" t="s">
        <v>17</v>
      </c>
      <c r="D61" s="1">
        <v>16384</v>
      </c>
      <c r="E61" s="3">
        <f>MEDIAN('Run 1'!E61,'Run 2'!E61,'Run 3'!E61,'Run 4'!E61,'Run 5'!E61,'Run 6'!E61,'Run 7'!E61,'Run 8'!E61,'Run 9'!E61,'Run 10'!E61,'Run 11'!E61)</f>
        <v>81.099999999999994</v>
      </c>
      <c r="F61" s="3">
        <f>MIN('Run 1'!E61,'Run 2'!E61,'Run 3'!E61,'Run 4'!E61,'Run 5'!E61,'Run 6'!E61,'Run 7'!E61,'Run 8'!E61,'Run 9'!E61,'Run 10'!E61,'Run 11'!E61)</f>
        <v>79.92</v>
      </c>
      <c r="G61" s="3">
        <f>MAX('Run 1'!E61,'Run 2'!E61,'Run 3'!E61,'Run 4'!E61,'Run 5'!E61,'Run 6'!E61,'Run 7'!E61,'Run 8'!E61,'Run 9'!E61,'Run 10'!E61,'Run 11'!E61)</f>
        <v>86.37</v>
      </c>
      <c r="H61" s="1">
        <f>COUNTIF('Run 1'!I61,"Yes")+COUNTIF('Run 2'!I61,"Yes")+COUNTIF('Run 3'!I61,"Yes")+COUNTIF('Run 4'!I61,"Yes")+COUNTIF('Run 5'!I61,"Yes")+COUNTIF('Run 6'!I61,"Yes")+COUNTIF('Run 7'!I61,"Yes")+COUNTIF('Run 8'!I61,"Yes")+COUNTIF('Run 9'!I61,"Yes")+COUNTIF('Run 10'!I61,"Yes")+COUNTIF('Run 11'!I61,"Yes")</f>
        <v>0</v>
      </c>
    </row>
    <row r="62" spans="1:8" x14ac:dyDescent="0.3">
      <c r="A62" s="1" t="s">
        <v>21</v>
      </c>
      <c r="B62" s="1" t="s">
        <v>15</v>
      </c>
      <c r="C62" s="1" t="s">
        <v>16</v>
      </c>
      <c r="D62" s="1">
        <v>65536</v>
      </c>
      <c r="E62" s="3">
        <f>MEDIAN('Run 1'!E62,'Run 2'!E62,'Run 3'!E62,'Run 4'!E62,'Run 5'!E62,'Run 6'!E62,'Run 7'!E62,'Run 8'!E62,'Run 9'!E62,'Run 10'!E62,'Run 11'!E62)</f>
        <v>19.62</v>
      </c>
      <c r="F62" s="3">
        <f>MIN('Run 1'!E62,'Run 2'!E62,'Run 3'!E62,'Run 4'!E62,'Run 5'!E62,'Run 6'!E62,'Run 7'!E62,'Run 8'!E62,'Run 9'!E62,'Run 10'!E62,'Run 11'!E62)</f>
        <v>18.89</v>
      </c>
      <c r="G62" s="3">
        <f>MAX('Run 1'!E62,'Run 2'!E62,'Run 3'!E62,'Run 4'!E62,'Run 5'!E62,'Run 6'!E62,'Run 7'!E62,'Run 8'!E62,'Run 9'!E62,'Run 10'!E62,'Run 11'!E62)</f>
        <v>24.76</v>
      </c>
      <c r="H62" s="1">
        <f>COUNTIF('Run 1'!I62,"Yes")+COUNTIF('Run 2'!I62,"Yes")+COUNTIF('Run 3'!I62,"Yes")+COUNTIF('Run 4'!I62,"Yes")+COUNTIF('Run 5'!I62,"Yes")+COUNTIF('Run 6'!I62,"Yes")+COUNTIF('Run 7'!I62,"Yes")+COUNTIF('Run 8'!I62,"Yes")+COUNTIF('Run 9'!I62,"Yes")+COUNTIF('Run 10'!I62,"Yes")+COUNTIF('Run 11'!I62,"Yes")</f>
        <v>0</v>
      </c>
    </row>
    <row r="63" spans="1:8" x14ac:dyDescent="0.3">
      <c r="A63" s="1" t="s">
        <v>21</v>
      </c>
      <c r="B63" s="1" t="s">
        <v>15</v>
      </c>
      <c r="C63" s="1" t="s">
        <v>17</v>
      </c>
      <c r="D63" s="1">
        <v>65536</v>
      </c>
      <c r="E63" s="3">
        <f>MEDIAN('Run 1'!E63,'Run 2'!E63,'Run 3'!E63,'Run 4'!E63,'Run 5'!E63,'Run 6'!E63,'Run 7'!E63,'Run 8'!E63,'Run 9'!E63,'Run 10'!E63,'Run 11'!E63)</f>
        <v>122.61</v>
      </c>
      <c r="F63" s="3">
        <f>MIN('Run 1'!E63,'Run 2'!E63,'Run 3'!E63,'Run 4'!E63,'Run 5'!E63,'Run 6'!E63,'Run 7'!E63,'Run 8'!E63,'Run 9'!E63,'Run 10'!E63,'Run 11'!E63)</f>
        <v>119.1</v>
      </c>
      <c r="G63" s="3">
        <f>MAX('Run 1'!E63,'Run 2'!E63,'Run 3'!E63,'Run 4'!E63,'Run 5'!E63,'Run 6'!E63,'Run 7'!E63,'Run 8'!E63,'Run 9'!E63,'Run 10'!E63,'Run 11'!E63)</f>
        <v>128.27000000000001</v>
      </c>
      <c r="H63" s="1">
        <f>COUNTIF('Run 1'!I63,"Yes")+COUNTIF('Run 2'!I63,"Yes")+COUNTIF('Run 3'!I63,"Yes")+COUNTIF('Run 4'!I63,"Yes")+COUNTIF('Run 5'!I63,"Yes")+COUNTIF('Run 6'!I63,"Yes")+COUNTIF('Run 7'!I63,"Yes")+COUNTIF('Run 8'!I63,"Yes")+COUNTIF('Run 9'!I63,"Yes")+COUNTIF('Run 10'!I63,"Yes")+COUNTIF('Run 11'!I63,"Yes")</f>
        <v>0</v>
      </c>
    </row>
    <row r="64" spans="1:8" x14ac:dyDescent="0.3">
      <c r="A64" s="1" t="s">
        <v>21</v>
      </c>
      <c r="B64" s="1" t="s">
        <v>18</v>
      </c>
      <c r="C64" s="1" t="s">
        <v>16</v>
      </c>
      <c r="D64" s="1">
        <v>65536</v>
      </c>
      <c r="E64" s="3">
        <f>MEDIAN('Run 1'!E64,'Run 2'!E64,'Run 3'!E64,'Run 4'!E64,'Run 5'!E64,'Run 6'!E64,'Run 7'!E64,'Run 8'!E64,'Run 9'!E64,'Run 10'!E64,'Run 11'!E64)</f>
        <v>33.44</v>
      </c>
      <c r="F64" s="3">
        <f>MIN('Run 1'!E64,'Run 2'!E64,'Run 3'!E64,'Run 4'!E64,'Run 5'!E64,'Run 6'!E64,'Run 7'!E64,'Run 8'!E64,'Run 9'!E64,'Run 10'!E64,'Run 11'!E64)</f>
        <v>28.45</v>
      </c>
      <c r="G64" s="3">
        <f>MAX('Run 1'!E64,'Run 2'!E64,'Run 3'!E64,'Run 4'!E64,'Run 5'!E64,'Run 6'!E64,'Run 7'!E64,'Run 8'!E64,'Run 9'!E64,'Run 10'!E64,'Run 11'!E64)</f>
        <v>37.26</v>
      </c>
      <c r="H64" s="1">
        <f>COUNTIF('Run 1'!I64,"Yes")+COUNTIF('Run 2'!I64,"Yes")+COUNTIF('Run 3'!I64,"Yes")+COUNTIF('Run 4'!I64,"Yes")+COUNTIF('Run 5'!I64,"Yes")+COUNTIF('Run 6'!I64,"Yes")+COUNTIF('Run 7'!I64,"Yes")+COUNTIF('Run 8'!I64,"Yes")+COUNTIF('Run 9'!I64,"Yes")+COUNTIF('Run 10'!I64,"Yes")+COUNTIF('Run 11'!I64,"Yes")</f>
        <v>7</v>
      </c>
    </row>
    <row r="65" spans="1:8" x14ac:dyDescent="0.3">
      <c r="A65" s="1" t="s">
        <v>21</v>
      </c>
      <c r="B65" s="1" t="s">
        <v>18</v>
      </c>
      <c r="C65" s="1" t="s">
        <v>17</v>
      </c>
      <c r="D65" s="1">
        <v>65536</v>
      </c>
      <c r="E65" s="3">
        <f>MEDIAN('Run 1'!E65,'Run 2'!E65,'Run 3'!E65,'Run 4'!E65,'Run 5'!E65,'Run 6'!E65,'Run 7'!E65,'Run 8'!E65,'Run 9'!E65,'Run 10'!E65,'Run 11'!E65)</f>
        <v>96.64</v>
      </c>
      <c r="F65" s="3">
        <f>MIN('Run 1'!E65,'Run 2'!E65,'Run 3'!E65,'Run 4'!E65,'Run 5'!E65,'Run 6'!E65,'Run 7'!E65,'Run 8'!E65,'Run 9'!E65,'Run 10'!E65,'Run 11'!E65)</f>
        <v>93.48</v>
      </c>
      <c r="G65" s="3">
        <f>MAX('Run 1'!E65,'Run 2'!E65,'Run 3'!E65,'Run 4'!E65,'Run 5'!E65,'Run 6'!E65,'Run 7'!E65,'Run 8'!E65,'Run 9'!E65,'Run 10'!E65,'Run 11'!E65)</f>
        <v>101.33</v>
      </c>
      <c r="H65" s="1">
        <f>COUNTIF('Run 1'!I65,"Yes")+COUNTIF('Run 2'!I65,"Yes")+COUNTIF('Run 3'!I65,"Yes")+COUNTIF('Run 4'!I65,"Yes")+COUNTIF('Run 5'!I65,"Yes")+COUNTIF('Run 6'!I65,"Yes")+COUNTIF('Run 7'!I65,"Yes")+COUNTIF('Run 8'!I65,"Yes")+COUNTIF('Run 9'!I65,"Yes")+COUNTIF('Run 10'!I65,"Yes")+COUNTIF('Run 11'!I65,"Yes")</f>
        <v>1</v>
      </c>
    </row>
    <row r="66" spans="1:8" x14ac:dyDescent="0.3">
      <c r="A66" s="1" t="s">
        <v>21</v>
      </c>
      <c r="B66" s="1" t="s">
        <v>19</v>
      </c>
      <c r="C66" s="1" t="s">
        <v>16</v>
      </c>
      <c r="D66" s="1">
        <v>65536</v>
      </c>
      <c r="E66" s="3">
        <f>MEDIAN('Run 1'!E66,'Run 2'!E66,'Run 3'!E66,'Run 4'!E66,'Run 5'!E66,'Run 6'!E66,'Run 7'!E66,'Run 8'!E66,'Run 9'!E66,'Run 10'!E66,'Run 11'!E66)</f>
        <v>28.05</v>
      </c>
      <c r="F66" s="3">
        <f>MIN('Run 1'!E66,'Run 2'!E66,'Run 3'!E66,'Run 4'!E66,'Run 5'!E66,'Run 6'!E66,'Run 7'!E66,'Run 8'!E66,'Run 9'!E66,'Run 10'!E66,'Run 11'!E66)</f>
        <v>26.82</v>
      </c>
      <c r="G66" s="3">
        <f>MAX('Run 1'!E66,'Run 2'!E66,'Run 3'!E66,'Run 4'!E66,'Run 5'!E66,'Run 6'!E66,'Run 7'!E66,'Run 8'!E66,'Run 9'!E66,'Run 10'!E66,'Run 11'!E66)</f>
        <v>29.7</v>
      </c>
      <c r="H66" s="1">
        <f>COUNTIF('Run 1'!I66,"Yes")+COUNTIF('Run 2'!I66,"Yes")+COUNTIF('Run 3'!I66,"Yes")+COUNTIF('Run 4'!I66,"Yes")+COUNTIF('Run 5'!I66,"Yes")+COUNTIF('Run 6'!I66,"Yes")+COUNTIF('Run 7'!I66,"Yes")+COUNTIF('Run 8'!I66,"Yes")+COUNTIF('Run 9'!I66,"Yes")+COUNTIF('Run 10'!I66,"Yes")+COUNTIF('Run 11'!I66,"Yes")</f>
        <v>0</v>
      </c>
    </row>
    <row r="67" spans="1:8" x14ac:dyDescent="0.3">
      <c r="A67" s="1" t="s">
        <v>21</v>
      </c>
      <c r="B67" s="1" t="s">
        <v>19</v>
      </c>
      <c r="C67" s="1" t="s">
        <v>17</v>
      </c>
      <c r="D67" s="1">
        <v>65536</v>
      </c>
      <c r="E67" s="3">
        <f>MEDIAN('Run 1'!E67,'Run 2'!E67,'Run 3'!E67,'Run 4'!E67,'Run 5'!E67,'Run 6'!E67,'Run 7'!E67,'Run 8'!E67,'Run 9'!E67,'Run 10'!E67,'Run 11'!E67)</f>
        <v>125.8</v>
      </c>
      <c r="F67" s="3">
        <f>MIN('Run 1'!E67,'Run 2'!E67,'Run 3'!E67,'Run 4'!E67,'Run 5'!E67,'Run 6'!E67,'Run 7'!E67,'Run 8'!E67,'Run 9'!E67,'Run 10'!E67,'Run 11'!E67)</f>
        <v>123.64</v>
      </c>
      <c r="G67" s="3">
        <f>MAX('Run 1'!E67,'Run 2'!E67,'Run 3'!E67,'Run 4'!E67,'Run 5'!E67,'Run 6'!E67,'Run 7'!E67,'Run 8'!E67,'Run 9'!E67,'Run 10'!E67,'Run 11'!E67)</f>
        <v>130.85</v>
      </c>
      <c r="H67" s="1">
        <f>COUNTIF('Run 1'!I67,"Yes")+COUNTIF('Run 2'!I67,"Yes")+COUNTIF('Run 3'!I67,"Yes")+COUNTIF('Run 4'!I67,"Yes")+COUNTIF('Run 5'!I67,"Yes")+COUNTIF('Run 6'!I67,"Yes")+COUNTIF('Run 7'!I67,"Yes")+COUNTIF('Run 8'!I67,"Yes")+COUNTIF('Run 9'!I67,"Yes")+COUNTIF('Run 10'!I67,"Yes")+COUNTIF('Run 11'!I67,"Yes")</f>
        <v>0</v>
      </c>
    </row>
    <row r="68" spans="1:8" x14ac:dyDescent="0.3">
      <c r="A68" s="1" t="s">
        <v>21</v>
      </c>
      <c r="B68" s="1" t="s">
        <v>15</v>
      </c>
      <c r="C68" s="1" t="s">
        <v>16</v>
      </c>
      <c r="D68" s="1">
        <v>262144</v>
      </c>
      <c r="E68" s="3">
        <f>MEDIAN('Run 1'!E68,'Run 2'!E68,'Run 3'!E68,'Run 4'!E68,'Run 5'!E68,'Run 6'!E68,'Run 7'!E68,'Run 8'!E68,'Run 9'!E68,'Run 10'!E68,'Run 11'!E68)</f>
        <v>25.99</v>
      </c>
      <c r="F68" s="3">
        <f>MIN('Run 1'!E68,'Run 2'!E68,'Run 3'!E68,'Run 4'!E68,'Run 5'!E68,'Run 6'!E68,'Run 7'!E68,'Run 8'!E68,'Run 9'!E68,'Run 10'!E68,'Run 11'!E68)</f>
        <v>24.07</v>
      </c>
      <c r="G68" s="3">
        <f>MAX('Run 1'!E68,'Run 2'!E68,'Run 3'!E68,'Run 4'!E68,'Run 5'!E68,'Run 6'!E68,'Run 7'!E68,'Run 8'!E68,'Run 9'!E68,'Run 10'!E68,'Run 11'!E68)</f>
        <v>30.33</v>
      </c>
      <c r="H68" s="1">
        <f>COUNTIF('Run 1'!I68,"Yes")+COUNTIF('Run 2'!I68,"Yes")+COUNTIF('Run 3'!I68,"Yes")+COUNTIF('Run 4'!I68,"Yes")+COUNTIF('Run 5'!I68,"Yes")+COUNTIF('Run 6'!I68,"Yes")+COUNTIF('Run 7'!I68,"Yes")+COUNTIF('Run 8'!I68,"Yes")+COUNTIF('Run 9'!I68,"Yes")+COUNTIF('Run 10'!I68,"Yes")+COUNTIF('Run 11'!I68,"Yes")</f>
        <v>10</v>
      </c>
    </row>
    <row r="69" spans="1:8" x14ac:dyDescent="0.3">
      <c r="A69" s="1" t="s">
        <v>21</v>
      </c>
      <c r="B69" s="1" t="s">
        <v>15</v>
      </c>
      <c r="C69" s="1" t="s">
        <v>17</v>
      </c>
      <c r="D69" s="1">
        <v>262144</v>
      </c>
      <c r="E69" s="3">
        <f>MEDIAN('Run 1'!E69,'Run 2'!E69,'Run 3'!E69,'Run 4'!E69,'Run 5'!E69,'Run 6'!E69,'Run 7'!E69,'Run 8'!E69,'Run 9'!E69,'Run 10'!E69,'Run 11'!E69)</f>
        <v>206.6</v>
      </c>
      <c r="F69" s="3">
        <f>MIN('Run 1'!E69,'Run 2'!E69,'Run 3'!E69,'Run 4'!E69,'Run 5'!E69,'Run 6'!E69,'Run 7'!E69,'Run 8'!E69,'Run 9'!E69,'Run 10'!E69,'Run 11'!E69)</f>
        <v>204.23</v>
      </c>
      <c r="G69" s="3">
        <f>MAX('Run 1'!E69,'Run 2'!E69,'Run 3'!E69,'Run 4'!E69,'Run 5'!E69,'Run 6'!E69,'Run 7'!E69,'Run 8'!E69,'Run 9'!E69,'Run 10'!E69,'Run 11'!E69)</f>
        <v>240.3</v>
      </c>
      <c r="H69" s="1">
        <f>COUNTIF('Run 1'!I69,"Yes")+COUNTIF('Run 2'!I69,"Yes")+COUNTIF('Run 3'!I69,"Yes")+COUNTIF('Run 4'!I69,"Yes")+COUNTIF('Run 5'!I69,"Yes")+COUNTIF('Run 6'!I69,"Yes")+COUNTIF('Run 7'!I69,"Yes")+COUNTIF('Run 8'!I69,"Yes")+COUNTIF('Run 9'!I69,"Yes")+COUNTIF('Run 10'!I69,"Yes")+COUNTIF('Run 11'!I69,"Yes")</f>
        <v>0</v>
      </c>
    </row>
    <row r="70" spans="1:8" x14ac:dyDescent="0.3">
      <c r="A70" s="1" t="s">
        <v>21</v>
      </c>
      <c r="B70" s="1" t="s">
        <v>18</v>
      </c>
      <c r="C70" s="1" t="s">
        <v>16</v>
      </c>
      <c r="D70" s="1">
        <v>262144</v>
      </c>
      <c r="E70" s="3">
        <f>MEDIAN('Run 1'!E70,'Run 2'!E70,'Run 3'!E70,'Run 4'!E70,'Run 5'!E70,'Run 6'!E70,'Run 7'!E70,'Run 8'!E70,'Run 9'!E70,'Run 10'!E70,'Run 11'!E70)</f>
        <v>39.729999999999997</v>
      </c>
      <c r="F70" s="3">
        <f>MIN('Run 1'!E70,'Run 2'!E70,'Run 3'!E70,'Run 4'!E70,'Run 5'!E70,'Run 6'!E70,'Run 7'!E70,'Run 8'!E70,'Run 9'!E70,'Run 10'!E70,'Run 11'!E70)</f>
        <v>35.68</v>
      </c>
      <c r="G70" s="3">
        <f>MAX('Run 1'!E70,'Run 2'!E70,'Run 3'!E70,'Run 4'!E70,'Run 5'!E70,'Run 6'!E70,'Run 7'!E70,'Run 8'!E70,'Run 9'!E70,'Run 10'!E70,'Run 11'!E70)</f>
        <v>43.31</v>
      </c>
      <c r="H70" s="1">
        <f>COUNTIF('Run 1'!I70,"Yes")+COUNTIF('Run 2'!I70,"Yes")+COUNTIF('Run 3'!I70,"Yes")+COUNTIF('Run 4'!I70,"Yes")+COUNTIF('Run 5'!I70,"Yes")+COUNTIF('Run 6'!I70,"Yes")+COUNTIF('Run 7'!I70,"Yes")+COUNTIF('Run 8'!I70,"Yes")+COUNTIF('Run 9'!I70,"Yes")+COUNTIF('Run 10'!I70,"Yes")+COUNTIF('Run 11'!I70,"Yes")</f>
        <v>5</v>
      </c>
    </row>
    <row r="71" spans="1:8" x14ac:dyDescent="0.3">
      <c r="A71" s="1" t="s">
        <v>21</v>
      </c>
      <c r="B71" s="1" t="s">
        <v>18</v>
      </c>
      <c r="C71" s="1" t="s">
        <v>17</v>
      </c>
      <c r="D71" s="1">
        <v>262144</v>
      </c>
      <c r="E71" s="3">
        <f>MEDIAN('Run 1'!E71,'Run 2'!E71,'Run 3'!E71,'Run 4'!E71,'Run 5'!E71,'Run 6'!E71,'Run 7'!E71,'Run 8'!E71,'Run 9'!E71,'Run 10'!E71,'Run 11'!E71)</f>
        <v>175.54</v>
      </c>
      <c r="F71" s="3">
        <f>MIN('Run 1'!E71,'Run 2'!E71,'Run 3'!E71,'Run 4'!E71,'Run 5'!E71,'Run 6'!E71,'Run 7'!E71,'Run 8'!E71,'Run 9'!E71,'Run 10'!E71,'Run 11'!E71)</f>
        <v>168.3</v>
      </c>
      <c r="G71" s="3">
        <f>MAX('Run 1'!E71,'Run 2'!E71,'Run 3'!E71,'Run 4'!E71,'Run 5'!E71,'Run 6'!E71,'Run 7'!E71,'Run 8'!E71,'Run 9'!E71,'Run 10'!E71,'Run 11'!E71)</f>
        <v>184.26</v>
      </c>
      <c r="H71" s="1">
        <f>COUNTIF('Run 1'!I71,"Yes")+COUNTIF('Run 2'!I71,"Yes")+COUNTIF('Run 3'!I71,"Yes")+COUNTIF('Run 4'!I71,"Yes")+COUNTIF('Run 5'!I71,"Yes")+COUNTIF('Run 6'!I71,"Yes")+COUNTIF('Run 7'!I71,"Yes")+COUNTIF('Run 8'!I71,"Yes")+COUNTIF('Run 9'!I71,"Yes")+COUNTIF('Run 10'!I71,"Yes")+COUNTIF('Run 11'!I71,"Yes")</f>
        <v>4</v>
      </c>
    </row>
    <row r="72" spans="1:8" x14ac:dyDescent="0.3">
      <c r="A72" s="1" t="s">
        <v>21</v>
      </c>
      <c r="B72" s="1" t="s">
        <v>19</v>
      </c>
      <c r="C72" s="1" t="s">
        <v>16</v>
      </c>
      <c r="D72" s="1">
        <v>262144</v>
      </c>
      <c r="E72" s="3">
        <f>MEDIAN('Run 1'!E72,'Run 2'!E72,'Run 3'!E72,'Run 4'!E72,'Run 5'!E72,'Run 6'!E72,'Run 7'!E72,'Run 8'!E72,'Run 9'!E72,'Run 10'!E72,'Run 11'!E72)</f>
        <v>32.630000000000003</v>
      </c>
      <c r="F72" s="3">
        <f>MIN('Run 1'!E72,'Run 2'!E72,'Run 3'!E72,'Run 4'!E72,'Run 5'!E72,'Run 6'!E72,'Run 7'!E72,'Run 8'!E72,'Run 9'!E72,'Run 10'!E72,'Run 11'!E72)</f>
        <v>30.77</v>
      </c>
      <c r="G72" s="3">
        <f>MAX('Run 1'!E72,'Run 2'!E72,'Run 3'!E72,'Run 4'!E72,'Run 5'!E72,'Run 6'!E72,'Run 7'!E72,'Run 8'!E72,'Run 9'!E72,'Run 10'!E72,'Run 11'!E72)</f>
        <v>34.590000000000003</v>
      </c>
      <c r="H72" s="1">
        <f>COUNTIF('Run 1'!I72,"Yes")+COUNTIF('Run 2'!I72,"Yes")+COUNTIF('Run 3'!I72,"Yes")+COUNTIF('Run 4'!I72,"Yes")+COUNTIF('Run 5'!I72,"Yes")+COUNTIF('Run 6'!I72,"Yes")+COUNTIF('Run 7'!I72,"Yes")+COUNTIF('Run 8'!I72,"Yes")+COUNTIF('Run 9'!I72,"Yes")+COUNTIF('Run 10'!I72,"Yes")+COUNTIF('Run 11'!I72,"Yes")</f>
        <v>0</v>
      </c>
    </row>
    <row r="73" spans="1:8" x14ac:dyDescent="0.3">
      <c r="A73" s="1" t="s">
        <v>21</v>
      </c>
      <c r="B73" s="1" t="s">
        <v>19</v>
      </c>
      <c r="C73" s="1" t="s">
        <v>17</v>
      </c>
      <c r="D73" s="1">
        <v>262144</v>
      </c>
      <c r="E73" s="3">
        <f>MEDIAN('Run 1'!E73,'Run 2'!E73,'Run 3'!E73,'Run 4'!E73,'Run 5'!E73,'Run 6'!E73,'Run 7'!E73,'Run 8'!E73,'Run 9'!E73,'Run 10'!E73,'Run 11'!E73)</f>
        <v>212.49</v>
      </c>
      <c r="F73" s="3">
        <f>MIN('Run 1'!E73,'Run 2'!E73,'Run 3'!E73,'Run 4'!E73,'Run 5'!E73,'Run 6'!E73,'Run 7'!E73,'Run 8'!E73,'Run 9'!E73,'Run 10'!E73,'Run 11'!E73)</f>
        <v>208.07</v>
      </c>
      <c r="G73" s="3">
        <f>MAX('Run 1'!E73,'Run 2'!E73,'Run 3'!E73,'Run 4'!E73,'Run 5'!E73,'Run 6'!E73,'Run 7'!E73,'Run 8'!E73,'Run 9'!E73,'Run 10'!E73,'Run 11'!E73)</f>
        <v>224.88</v>
      </c>
      <c r="H73" s="1">
        <f>COUNTIF('Run 1'!I73,"Yes")+COUNTIF('Run 2'!I73,"Yes")+COUNTIF('Run 3'!I73,"Yes")+COUNTIF('Run 4'!I73,"Yes")+COUNTIF('Run 5'!I73,"Yes")+COUNTIF('Run 6'!I73,"Yes")+COUNTIF('Run 7'!I73,"Yes")+COUNTIF('Run 8'!I73,"Yes")+COUNTIF('Run 9'!I73,"Yes")+COUNTIF('Run 10'!I73,"Yes")+COUNTIF('Run 11'!I73,"Yes")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848B-A05D-4DFC-8EF2-93BC9E1592F2}">
  <dimension ref="A1:M53"/>
  <sheetViews>
    <sheetView topLeftCell="A49" zoomScale="115" zoomScaleNormal="115" workbookViewId="0">
      <selection activeCell="G52" sqref="G52"/>
    </sheetView>
  </sheetViews>
  <sheetFormatPr defaultRowHeight="14.4" x14ac:dyDescent="0.3"/>
  <cols>
    <col min="3" max="3" width="11.33203125" customWidth="1"/>
    <col min="4" max="4" width="14.44140625" customWidth="1"/>
    <col min="9" max="9" width="6.21875" customWidth="1"/>
    <col min="10" max="10" width="8.88671875" customWidth="1"/>
    <col min="11" max="11" width="9.33203125" customWidth="1"/>
    <col min="12" max="12" width="12.77734375" customWidth="1"/>
    <col min="13" max="13" width="14.21875" customWidth="1"/>
  </cols>
  <sheetData>
    <row r="1" spans="1:13" x14ac:dyDescent="0.3">
      <c r="A1" s="2" t="s">
        <v>9</v>
      </c>
      <c r="B1" s="2" t="s">
        <v>40</v>
      </c>
      <c r="C1" s="2" t="s">
        <v>41</v>
      </c>
      <c r="D1" s="2" t="s">
        <v>42</v>
      </c>
      <c r="J1" s="2" t="s">
        <v>9</v>
      </c>
      <c r="K1" s="2" t="s">
        <v>40</v>
      </c>
      <c r="L1" s="2" t="s">
        <v>41</v>
      </c>
      <c r="M1" s="2" t="s">
        <v>42</v>
      </c>
    </row>
    <row r="2" spans="1:13" x14ac:dyDescent="0.3">
      <c r="A2">
        <v>4096</v>
      </c>
      <c r="B2">
        <v>9.65</v>
      </c>
      <c r="C2">
        <v>14.16</v>
      </c>
      <c r="D2">
        <v>47.04</v>
      </c>
      <c r="J2">
        <v>4096</v>
      </c>
      <c r="K2">
        <v>11.74</v>
      </c>
      <c r="L2">
        <v>12.95</v>
      </c>
      <c r="M2">
        <v>41.12</v>
      </c>
    </row>
    <row r="3" spans="1:13" x14ac:dyDescent="0.3">
      <c r="A3">
        <v>16384</v>
      </c>
      <c r="B3">
        <v>18.18</v>
      </c>
      <c r="C3">
        <v>26.8</v>
      </c>
      <c r="D3">
        <v>66.790000000000006</v>
      </c>
      <c r="J3">
        <v>16384</v>
      </c>
      <c r="K3">
        <v>21.43</v>
      </c>
      <c r="L3">
        <v>24.21</v>
      </c>
      <c r="M3">
        <v>59.57</v>
      </c>
    </row>
    <row r="4" spans="1:13" x14ac:dyDescent="0.3">
      <c r="A4">
        <v>65536</v>
      </c>
      <c r="B4">
        <v>26.59</v>
      </c>
      <c r="C4">
        <v>40.479999999999997</v>
      </c>
      <c r="D4">
        <v>100.09</v>
      </c>
      <c r="J4">
        <v>65536</v>
      </c>
      <c r="K4">
        <v>29.97</v>
      </c>
      <c r="L4">
        <v>36.619999999999997</v>
      </c>
      <c r="M4">
        <v>95.45</v>
      </c>
    </row>
    <row r="5" spans="1:13" x14ac:dyDescent="0.3">
      <c r="A5">
        <v>262144</v>
      </c>
      <c r="B5">
        <v>49.25</v>
      </c>
      <c r="C5">
        <v>78.5</v>
      </c>
      <c r="D5">
        <v>183.11</v>
      </c>
      <c r="J5">
        <v>262144</v>
      </c>
      <c r="K5">
        <v>51.48</v>
      </c>
      <c r="L5">
        <v>73.819999999999993</v>
      </c>
      <c r="M5">
        <v>180.33</v>
      </c>
    </row>
    <row r="25" spans="1:13" x14ac:dyDescent="0.3">
      <c r="A25" s="7" t="s">
        <v>9</v>
      </c>
      <c r="B25" s="7" t="s">
        <v>40</v>
      </c>
      <c r="C25" s="7" t="s">
        <v>41</v>
      </c>
      <c r="D25" s="7" t="s">
        <v>42</v>
      </c>
      <c r="J25" s="7" t="s">
        <v>9</v>
      </c>
      <c r="K25" s="7" t="s">
        <v>40</v>
      </c>
      <c r="L25" s="7" t="s">
        <v>41</v>
      </c>
      <c r="M25" s="7" t="s">
        <v>42</v>
      </c>
    </row>
    <row r="26" spans="1:13" x14ac:dyDescent="0.3">
      <c r="A26" s="8">
        <v>4096</v>
      </c>
      <c r="B26" s="8">
        <v>25.27</v>
      </c>
      <c r="C26" s="8">
        <v>22.82</v>
      </c>
      <c r="D26" s="8">
        <v>19.559999999999999</v>
      </c>
      <c r="J26" s="8">
        <v>4096</v>
      </c>
      <c r="K26" s="8">
        <v>60.77</v>
      </c>
      <c r="L26" s="8">
        <v>37.32</v>
      </c>
      <c r="M26" s="8">
        <v>55.58</v>
      </c>
    </row>
    <row r="27" spans="1:13" x14ac:dyDescent="0.3">
      <c r="A27" s="8">
        <v>16384</v>
      </c>
      <c r="B27" s="8">
        <v>30.03</v>
      </c>
      <c r="C27" s="8">
        <v>29.15</v>
      </c>
      <c r="D27" s="8">
        <v>23.64</v>
      </c>
      <c r="J27" s="8">
        <v>16384</v>
      </c>
      <c r="K27" s="8">
        <v>78.87</v>
      </c>
      <c r="L27" s="8">
        <v>57.9</v>
      </c>
      <c r="M27" s="8">
        <v>70.349999999999994</v>
      </c>
    </row>
    <row r="28" spans="1:13" x14ac:dyDescent="0.3">
      <c r="A28" s="8">
        <v>65536</v>
      </c>
      <c r="B28" s="8">
        <v>33.54</v>
      </c>
      <c r="C28" s="8">
        <v>60.8</v>
      </c>
      <c r="D28" s="8">
        <v>57.76</v>
      </c>
      <c r="J28" s="8">
        <v>65536</v>
      </c>
      <c r="K28" s="8">
        <v>119.48</v>
      </c>
      <c r="L28" s="8">
        <v>102</v>
      </c>
      <c r="M28" s="8">
        <v>94.51</v>
      </c>
    </row>
    <row r="29" spans="1:13" x14ac:dyDescent="0.3">
      <c r="A29" s="8">
        <v>262144</v>
      </c>
      <c r="B29" s="8">
        <v>43.99</v>
      </c>
      <c r="C29" s="8">
        <v>83.27</v>
      </c>
      <c r="D29" s="8">
        <v>76.77</v>
      </c>
      <c r="J29" s="8">
        <v>262144</v>
      </c>
      <c r="K29" s="8">
        <v>189.16</v>
      </c>
      <c r="L29" s="8">
        <v>190.87</v>
      </c>
      <c r="M29" s="8">
        <v>149.69999999999999</v>
      </c>
    </row>
    <row r="49" spans="1:13" x14ac:dyDescent="0.3">
      <c r="A49" s="7" t="s">
        <v>9</v>
      </c>
      <c r="B49" s="7" t="s">
        <v>40</v>
      </c>
      <c r="C49" s="7" t="s">
        <v>41</v>
      </c>
      <c r="D49" s="7" t="s">
        <v>42</v>
      </c>
      <c r="J49" s="7" t="s">
        <v>9</v>
      </c>
      <c r="K49" s="7" t="s">
        <v>40</v>
      </c>
      <c r="L49" s="7" t="s">
        <v>41</v>
      </c>
      <c r="M49" s="7" t="s">
        <v>42</v>
      </c>
    </row>
    <row r="50" spans="1:13" x14ac:dyDescent="0.3">
      <c r="A50" s="8">
        <v>4096</v>
      </c>
      <c r="B50" s="8">
        <v>19.93</v>
      </c>
      <c r="C50" s="8">
        <v>14.8</v>
      </c>
      <c r="D50" s="8">
        <v>17.14</v>
      </c>
      <c r="J50" s="8">
        <v>4096</v>
      </c>
      <c r="K50" s="8">
        <v>62.55</v>
      </c>
      <c r="L50" s="8">
        <v>38.549999999999997</v>
      </c>
      <c r="M50" s="8">
        <v>58.95</v>
      </c>
    </row>
    <row r="51" spans="1:13" x14ac:dyDescent="0.3">
      <c r="A51" s="8">
        <v>16384</v>
      </c>
      <c r="B51" s="8">
        <v>23.73</v>
      </c>
      <c r="C51" s="8">
        <v>17.18</v>
      </c>
      <c r="D51" s="8">
        <v>18.850000000000001</v>
      </c>
      <c r="J51" s="8">
        <v>16384</v>
      </c>
      <c r="K51" s="8">
        <v>81.099999999999994</v>
      </c>
      <c r="L51" s="8">
        <v>54.18</v>
      </c>
      <c r="M51" s="8">
        <v>82.23</v>
      </c>
    </row>
    <row r="52" spans="1:13" x14ac:dyDescent="0.3">
      <c r="A52" s="8">
        <v>65536</v>
      </c>
      <c r="B52" s="8">
        <v>28.05</v>
      </c>
      <c r="C52" s="8">
        <v>33.44</v>
      </c>
      <c r="D52" s="8">
        <v>19.62</v>
      </c>
      <c r="J52" s="8">
        <v>65536</v>
      </c>
      <c r="K52" s="8">
        <v>125.8</v>
      </c>
      <c r="L52" s="8">
        <v>96.64</v>
      </c>
      <c r="M52" s="8">
        <v>122.61</v>
      </c>
    </row>
    <row r="53" spans="1:13" x14ac:dyDescent="0.3">
      <c r="A53" s="8">
        <v>262144</v>
      </c>
      <c r="B53" s="8">
        <v>32.630000000000003</v>
      </c>
      <c r="C53" s="8">
        <v>39.729999999999997</v>
      </c>
      <c r="D53" s="8">
        <v>25.99</v>
      </c>
      <c r="J53" s="8">
        <v>262144</v>
      </c>
      <c r="K53" s="8">
        <v>212.49</v>
      </c>
      <c r="L53" s="8">
        <v>175.54</v>
      </c>
      <c r="M53" s="8">
        <v>206.6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workbookViewId="0"/>
  </sheetViews>
  <sheetFormatPr defaultColWidth="8.6640625" defaultRowHeight="14.4" x14ac:dyDescent="0.3"/>
  <cols>
    <col min="1" max="1" width="40" customWidth="1"/>
    <col min="2" max="2" width="10" customWidth="1"/>
  </cols>
  <sheetData>
    <row r="1" spans="1:2" x14ac:dyDescent="0.3">
      <c r="A1" s="4" t="s">
        <v>22</v>
      </c>
    </row>
    <row r="2" spans="1:2" x14ac:dyDescent="0.3">
      <c r="A2" s="1" t="s">
        <v>23</v>
      </c>
      <c r="B2" s="3">
        <f>Median!E49/Median!E47</f>
        <v>0.99104102268559746</v>
      </c>
    </row>
    <row r="3" spans="1:2" x14ac:dyDescent="0.3">
      <c r="A3" s="1" t="s">
        <v>24</v>
      </c>
      <c r="B3" s="3">
        <f>Median!E73/Median!E71</f>
        <v>1.2104933348524554</v>
      </c>
    </row>
    <row r="4" spans="1:2" x14ac:dyDescent="0.3">
      <c r="A4" s="1" t="s">
        <v>25</v>
      </c>
      <c r="B4" s="3">
        <f>Median!E48/Median!E46</f>
        <v>0.52828149393539092</v>
      </c>
    </row>
    <row r="5" spans="1:2" x14ac:dyDescent="0.3">
      <c r="A5" s="1" t="s">
        <v>26</v>
      </c>
      <c r="B5" s="3">
        <f>Median!E72/Median!E70</f>
        <v>0.82129373269569605</v>
      </c>
    </row>
    <row r="6" spans="1:2" x14ac:dyDescent="0.3">
      <c r="A6" s="1" t="s">
        <v>27</v>
      </c>
      <c r="B6" s="3">
        <f>Median!E25/Median!E23</f>
        <v>0.69737198591167704</v>
      </c>
    </row>
    <row r="7" spans="1:2" x14ac:dyDescent="0.3">
      <c r="A7" s="1" t="s">
        <v>28</v>
      </c>
      <c r="B7" s="3">
        <f>Median!E24/Median!E22</f>
        <v>0.62738853503184711</v>
      </c>
    </row>
    <row r="9" spans="1:2" x14ac:dyDescent="0.3">
      <c r="A9" s="4" t="s">
        <v>29</v>
      </c>
    </row>
    <row r="10" spans="1:2" x14ac:dyDescent="0.3">
      <c r="A10" s="1" t="s">
        <v>30</v>
      </c>
      <c r="B10" s="3">
        <f>Median!E49/Median!E48</f>
        <v>4.3000681973175716</v>
      </c>
    </row>
    <row r="11" spans="1:2" x14ac:dyDescent="0.3">
      <c r="A11" s="1" t="s">
        <v>31</v>
      </c>
      <c r="B11" s="3">
        <f>Median!E73/Median!E72</f>
        <v>6.5121054244560215</v>
      </c>
    </row>
    <row r="12" spans="1:2" x14ac:dyDescent="0.3">
      <c r="A12" s="1" t="s">
        <v>32</v>
      </c>
      <c r="B12" s="3">
        <f>Median!E47/Median!E46</f>
        <v>2.2921820583643573</v>
      </c>
    </row>
    <row r="13" spans="1:2" x14ac:dyDescent="0.3">
      <c r="A13" s="1" t="s">
        <v>33</v>
      </c>
      <c r="B13" s="3">
        <f>Median!E71/Median!E70</f>
        <v>4.4183236848728917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3"/>
  <sheetViews>
    <sheetView zoomScaleNormal="100" workbookViewId="0">
      <pane ySplit="1" topLeftCell="A35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8" customWidth="1"/>
    <col min="4" max="4" width="9" customWidth="1"/>
    <col min="5" max="5" width="10" customWidth="1"/>
    <col min="6" max="6" width="14" customWidth="1"/>
    <col min="7" max="7" width="8" customWidth="1"/>
    <col min="8" max="9" width="10" customWidth="1"/>
  </cols>
  <sheetData>
    <row r="1" spans="1:9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spans="1:9" x14ac:dyDescent="0.3">
      <c r="A2" s="1" t="s">
        <v>14</v>
      </c>
      <c r="B2" s="1" t="s">
        <v>15</v>
      </c>
      <c r="C2" s="1" t="s">
        <v>16</v>
      </c>
      <c r="D2" s="1">
        <v>4096</v>
      </c>
      <c r="E2" s="3">
        <v>47.04</v>
      </c>
      <c r="F2" s="5">
        <v>21256807.800000001</v>
      </c>
      <c r="G2" s="6">
        <v>2E-3</v>
      </c>
      <c r="H2" s="1">
        <v>0.11</v>
      </c>
      <c r="I2" s="1"/>
    </row>
    <row r="3" spans="1:9" x14ac:dyDescent="0.3">
      <c r="A3" s="1" t="s">
        <v>14</v>
      </c>
      <c r="B3" s="1" t="s">
        <v>15</v>
      </c>
      <c r="C3" s="1" t="s">
        <v>17</v>
      </c>
      <c r="D3" s="1">
        <v>4096</v>
      </c>
      <c r="E3" s="3">
        <v>40.54</v>
      </c>
      <c r="F3" s="5">
        <v>24666119.559999999</v>
      </c>
      <c r="G3" s="6">
        <v>2.5999999999999999E-2</v>
      </c>
      <c r="H3" s="1">
        <v>0.1</v>
      </c>
      <c r="I3" s="1"/>
    </row>
    <row r="4" spans="1:9" x14ac:dyDescent="0.3">
      <c r="A4" s="1" t="s">
        <v>14</v>
      </c>
      <c r="B4" s="1" t="s">
        <v>18</v>
      </c>
      <c r="C4" s="1" t="s">
        <v>16</v>
      </c>
      <c r="D4" s="1">
        <v>4096</v>
      </c>
      <c r="E4" s="3">
        <v>13.69</v>
      </c>
      <c r="F4" s="5">
        <v>73039219.129999995</v>
      </c>
      <c r="G4" s="6">
        <v>4.0000000000000001E-3</v>
      </c>
      <c r="H4" s="1">
        <v>0.03</v>
      </c>
      <c r="I4" s="1"/>
    </row>
    <row r="5" spans="1:9" x14ac:dyDescent="0.3">
      <c r="A5" s="1" t="s">
        <v>14</v>
      </c>
      <c r="B5" s="1" t="s">
        <v>18</v>
      </c>
      <c r="C5" s="1" t="s">
        <v>17</v>
      </c>
      <c r="D5" s="1">
        <v>4096</v>
      </c>
      <c r="E5" s="3">
        <v>13.66</v>
      </c>
      <c r="F5" s="5">
        <v>73206039.959999993</v>
      </c>
      <c r="G5" s="6">
        <v>3.5999999999999997E-2</v>
      </c>
      <c r="H5" s="1">
        <v>0.03</v>
      </c>
      <c r="I5" s="1"/>
    </row>
    <row r="6" spans="1:9" x14ac:dyDescent="0.3">
      <c r="A6" s="1" t="s">
        <v>14</v>
      </c>
      <c r="B6" s="1" t="s">
        <v>19</v>
      </c>
      <c r="C6" s="1" t="s">
        <v>16</v>
      </c>
      <c r="D6" s="1">
        <v>4096</v>
      </c>
      <c r="E6" s="3">
        <v>9.4600000000000009</v>
      </c>
      <c r="F6" s="5">
        <v>105745153.34999999</v>
      </c>
      <c r="G6" s="6">
        <v>1.4E-2</v>
      </c>
      <c r="H6" s="1">
        <v>0.02</v>
      </c>
      <c r="I6" s="1"/>
    </row>
    <row r="7" spans="1:9" x14ac:dyDescent="0.3">
      <c r="A7" s="1" t="s">
        <v>14</v>
      </c>
      <c r="B7" s="1" t="s">
        <v>19</v>
      </c>
      <c r="C7" s="1" t="s">
        <v>17</v>
      </c>
      <c r="D7" s="1">
        <v>4096</v>
      </c>
      <c r="E7" s="3">
        <v>11.94</v>
      </c>
      <c r="F7" s="5">
        <v>83748763.530000001</v>
      </c>
      <c r="G7" s="6">
        <v>1.0999999999999999E-2</v>
      </c>
      <c r="H7" s="1">
        <v>0.03</v>
      </c>
      <c r="I7" s="1"/>
    </row>
    <row r="8" spans="1:9" x14ac:dyDescent="0.3">
      <c r="A8" s="1" t="s">
        <v>14</v>
      </c>
      <c r="B8" s="1" t="s">
        <v>15</v>
      </c>
      <c r="C8" s="1" t="s">
        <v>16</v>
      </c>
      <c r="D8" s="1">
        <v>16384</v>
      </c>
      <c r="E8" s="3">
        <v>67.19</v>
      </c>
      <c r="F8" s="5">
        <v>14883309.42</v>
      </c>
      <c r="G8" s="6">
        <v>1.4999999999999999E-2</v>
      </c>
      <c r="H8" s="1">
        <v>0.15</v>
      </c>
      <c r="I8" s="1"/>
    </row>
    <row r="9" spans="1:9" x14ac:dyDescent="0.3">
      <c r="A9" s="1" t="s">
        <v>14</v>
      </c>
      <c r="B9" s="1" t="s">
        <v>15</v>
      </c>
      <c r="C9" s="1" t="s">
        <v>17</v>
      </c>
      <c r="D9" s="1">
        <v>16384</v>
      </c>
      <c r="E9" s="3">
        <v>60.06</v>
      </c>
      <c r="F9" s="5">
        <v>16651032.109999999</v>
      </c>
      <c r="G9" s="6">
        <v>0.01</v>
      </c>
      <c r="H9" s="1">
        <v>0.15</v>
      </c>
      <c r="I9" s="1"/>
    </row>
    <row r="10" spans="1:9" x14ac:dyDescent="0.3">
      <c r="A10" s="1" t="s">
        <v>14</v>
      </c>
      <c r="B10" s="1" t="s">
        <v>18</v>
      </c>
      <c r="C10" s="1" t="s">
        <v>16</v>
      </c>
      <c r="D10" s="1">
        <v>16384</v>
      </c>
      <c r="E10" s="3">
        <v>26.84</v>
      </c>
      <c r="F10" s="5">
        <v>37255987.109999999</v>
      </c>
      <c r="G10" s="6">
        <v>6.0000000000000001E-3</v>
      </c>
      <c r="H10" s="1">
        <v>7.0000000000000007E-2</v>
      </c>
      <c r="I10" s="1"/>
    </row>
    <row r="11" spans="1:9" x14ac:dyDescent="0.3">
      <c r="A11" s="1" t="s">
        <v>14</v>
      </c>
      <c r="B11" s="1" t="s">
        <v>18</v>
      </c>
      <c r="C11" s="1" t="s">
        <v>17</v>
      </c>
      <c r="D11" s="1">
        <v>16384</v>
      </c>
      <c r="E11" s="3">
        <v>24.38</v>
      </c>
      <c r="F11" s="5">
        <v>41012302.030000001</v>
      </c>
      <c r="G11" s="6">
        <v>5.0000000000000001E-3</v>
      </c>
      <c r="H11" s="1">
        <v>0.06</v>
      </c>
      <c r="I11" s="1"/>
    </row>
    <row r="12" spans="1:9" x14ac:dyDescent="0.3">
      <c r="A12" s="1" t="s">
        <v>14</v>
      </c>
      <c r="B12" s="1" t="s">
        <v>19</v>
      </c>
      <c r="C12" s="1" t="s">
        <v>16</v>
      </c>
      <c r="D12" s="1">
        <v>16384</v>
      </c>
      <c r="E12" s="3">
        <v>18.32</v>
      </c>
      <c r="F12" s="5">
        <v>54587027.340000004</v>
      </c>
      <c r="G12" s="6">
        <v>8.0000000000000002E-3</v>
      </c>
      <c r="H12" s="1">
        <v>0.04</v>
      </c>
      <c r="I12" s="1"/>
    </row>
    <row r="13" spans="1:9" x14ac:dyDescent="0.3">
      <c r="A13" s="1" t="s">
        <v>14</v>
      </c>
      <c r="B13" s="1" t="s">
        <v>19</v>
      </c>
      <c r="C13" s="1" t="s">
        <v>17</v>
      </c>
      <c r="D13" s="1">
        <v>16384</v>
      </c>
      <c r="E13" s="3">
        <v>21.36</v>
      </c>
      <c r="F13" s="5">
        <v>46825982.689999998</v>
      </c>
      <c r="G13" s="6">
        <v>6.0000000000000001E-3</v>
      </c>
      <c r="H13" s="1">
        <v>0.05</v>
      </c>
      <c r="I13" s="1"/>
    </row>
    <row r="14" spans="1:9" x14ac:dyDescent="0.3">
      <c r="A14" s="1" t="s">
        <v>14</v>
      </c>
      <c r="B14" s="1" t="s">
        <v>15</v>
      </c>
      <c r="C14" s="1" t="s">
        <v>16</v>
      </c>
      <c r="D14" s="1">
        <v>65536</v>
      </c>
      <c r="E14" s="3">
        <v>98.58</v>
      </c>
      <c r="F14" s="5">
        <v>10143830.710000001</v>
      </c>
      <c r="G14" s="6">
        <v>1.6E-2</v>
      </c>
      <c r="H14" s="1">
        <v>0.24</v>
      </c>
      <c r="I14" s="1"/>
    </row>
    <row r="15" spans="1:9" x14ac:dyDescent="0.3">
      <c r="A15" s="1" t="s">
        <v>14</v>
      </c>
      <c r="B15" s="1" t="s">
        <v>15</v>
      </c>
      <c r="C15" s="1" t="s">
        <v>17</v>
      </c>
      <c r="D15" s="1">
        <v>65536</v>
      </c>
      <c r="E15" s="3">
        <v>92.13</v>
      </c>
      <c r="F15" s="5">
        <v>10853804.859999999</v>
      </c>
      <c r="G15" s="6">
        <v>6.0000000000000001E-3</v>
      </c>
      <c r="H15" s="1">
        <v>0.22</v>
      </c>
      <c r="I15" s="1"/>
    </row>
    <row r="16" spans="1:9" x14ac:dyDescent="0.3">
      <c r="A16" s="1" t="s">
        <v>14</v>
      </c>
      <c r="B16" s="1" t="s">
        <v>18</v>
      </c>
      <c r="C16" s="1" t="s">
        <v>16</v>
      </c>
      <c r="D16" s="1">
        <v>65536</v>
      </c>
      <c r="E16" s="3">
        <v>40.17</v>
      </c>
      <c r="F16" s="5">
        <v>24896110.25</v>
      </c>
      <c r="G16" s="6">
        <v>8.0000000000000002E-3</v>
      </c>
      <c r="H16" s="1">
        <v>0.1</v>
      </c>
      <c r="I16" s="1"/>
    </row>
    <row r="17" spans="1:9" x14ac:dyDescent="0.3">
      <c r="A17" s="1" t="s">
        <v>14</v>
      </c>
      <c r="B17" s="1" t="s">
        <v>18</v>
      </c>
      <c r="C17" s="1" t="s">
        <v>17</v>
      </c>
      <c r="D17" s="1">
        <v>65536</v>
      </c>
      <c r="E17" s="3">
        <v>36.51</v>
      </c>
      <c r="F17" s="5">
        <v>27388461.02</v>
      </c>
      <c r="G17" s="6">
        <v>0.01</v>
      </c>
      <c r="H17" s="1">
        <v>0.09</v>
      </c>
      <c r="I17" s="1"/>
    </row>
    <row r="18" spans="1:9" x14ac:dyDescent="0.3">
      <c r="A18" s="1" t="s">
        <v>14</v>
      </c>
      <c r="B18" s="1" t="s">
        <v>19</v>
      </c>
      <c r="C18" s="1" t="s">
        <v>16</v>
      </c>
      <c r="D18" s="1">
        <v>65536</v>
      </c>
      <c r="E18" s="3">
        <v>26.66</v>
      </c>
      <c r="F18" s="5">
        <v>37513997.560000002</v>
      </c>
      <c r="G18" s="6">
        <v>1.2E-2</v>
      </c>
      <c r="H18" s="1">
        <v>0.06</v>
      </c>
      <c r="I18" s="1"/>
    </row>
    <row r="19" spans="1:9" x14ac:dyDescent="0.3">
      <c r="A19" s="1" t="s">
        <v>14</v>
      </c>
      <c r="B19" s="1" t="s">
        <v>19</v>
      </c>
      <c r="C19" s="1" t="s">
        <v>17</v>
      </c>
      <c r="D19" s="1">
        <v>65536</v>
      </c>
      <c r="E19" s="3">
        <v>29.68</v>
      </c>
      <c r="F19" s="5">
        <v>33691905.439999998</v>
      </c>
      <c r="G19" s="6">
        <v>4.0000000000000001E-3</v>
      </c>
      <c r="H19" s="1">
        <v>7.0000000000000007E-2</v>
      </c>
      <c r="I19" s="1"/>
    </row>
    <row r="20" spans="1:9" x14ac:dyDescent="0.3">
      <c r="A20" s="1" t="s">
        <v>14</v>
      </c>
      <c r="B20" s="1" t="s">
        <v>15</v>
      </c>
      <c r="C20" s="1" t="s">
        <v>16</v>
      </c>
      <c r="D20" s="1">
        <v>262144</v>
      </c>
      <c r="E20" s="3">
        <v>172.98</v>
      </c>
      <c r="F20" s="5">
        <v>5781113.5700000003</v>
      </c>
      <c r="G20" s="6">
        <v>7.0000000000000001E-3</v>
      </c>
      <c r="H20" s="1">
        <v>0.43</v>
      </c>
      <c r="I20" s="1"/>
    </row>
    <row r="21" spans="1:9" x14ac:dyDescent="0.3">
      <c r="A21" s="1" t="s">
        <v>14</v>
      </c>
      <c r="B21" s="1" t="s">
        <v>15</v>
      </c>
      <c r="C21" s="1" t="s">
        <v>17</v>
      </c>
      <c r="D21" s="1">
        <v>262144</v>
      </c>
      <c r="E21" s="3">
        <v>173.97</v>
      </c>
      <c r="F21" s="5">
        <v>5748229.7199999997</v>
      </c>
      <c r="G21" s="6">
        <v>1.2999999999999999E-2</v>
      </c>
      <c r="H21" s="1">
        <v>0.42</v>
      </c>
      <c r="I21" s="1"/>
    </row>
    <row r="22" spans="1:9" x14ac:dyDescent="0.3">
      <c r="A22" s="1" t="s">
        <v>14</v>
      </c>
      <c r="B22" s="1" t="s">
        <v>18</v>
      </c>
      <c r="C22" s="1" t="s">
        <v>16</v>
      </c>
      <c r="D22" s="1">
        <v>262144</v>
      </c>
      <c r="E22" s="3">
        <v>78.11</v>
      </c>
      <c r="F22" s="5">
        <v>12801751.93</v>
      </c>
      <c r="G22" s="6">
        <v>0.01</v>
      </c>
      <c r="H22" s="1">
        <v>0.19</v>
      </c>
      <c r="I22" s="1"/>
    </row>
    <row r="23" spans="1:9" x14ac:dyDescent="0.3">
      <c r="A23" s="1" t="s">
        <v>14</v>
      </c>
      <c r="B23" s="1" t="s">
        <v>18</v>
      </c>
      <c r="C23" s="1" t="s">
        <v>17</v>
      </c>
      <c r="D23" s="1">
        <v>262144</v>
      </c>
      <c r="E23" s="3">
        <v>73.489999999999995</v>
      </c>
      <c r="F23" s="5">
        <v>13606942.5</v>
      </c>
      <c r="G23" s="6">
        <v>1.4999999999999999E-2</v>
      </c>
      <c r="H23" s="1">
        <v>0.16</v>
      </c>
      <c r="I23" s="1"/>
    </row>
    <row r="24" spans="1:9" x14ac:dyDescent="0.3">
      <c r="A24" s="1" t="s">
        <v>14</v>
      </c>
      <c r="B24" s="1" t="s">
        <v>19</v>
      </c>
      <c r="C24" s="1" t="s">
        <v>16</v>
      </c>
      <c r="D24" s="1">
        <v>262144</v>
      </c>
      <c r="E24" s="3">
        <v>47.46</v>
      </c>
      <c r="F24" s="5">
        <v>21070285.75</v>
      </c>
      <c r="G24" s="6">
        <v>3.0000000000000001E-3</v>
      </c>
      <c r="H24" s="1">
        <v>0.12</v>
      </c>
      <c r="I24" s="1"/>
    </row>
    <row r="25" spans="1:9" x14ac:dyDescent="0.3">
      <c r="A25" s="1" t="s">
        <v>14</v>
      </c>
      <c r="B25" s="1" t="s">
        <v>19</v>
      </c>
      <c r="C25" s="1" t="s">
        <v>17</v>
      </c>
      <c r="D25" s="1">
        <v>262144</v>
      </c>
      <c r="E25" s="3">
        <v>51.48</v>
      </c>
      <c r="F25" s="5">
        <v>19424979.640000001</v>
      </c>
      <c r="G25" s="6">
        <v>3.0000000000000001E-3</v>
      </c>
      <c r="H25" s="1">
        <v>0.12</v>
      </c>
      <c r="I25" s="1"/>
    </row>
    <row r="26" spans="1:9" x14ac:dyDescent="0.3">
      <c r="A26" s="1" t="s">
        <v>20</v>
      </c>
      <c r="B26" s="1" t="s">
        <v>15</v>
      </c>
      <c r="C26" s="1" t="s">
        <v>16</v>
      </c>
      <c r="D26" s="1">
        <v>4096</v>
      </c>
      <c r="E26" s="3">
        <v>19.489999999999998</v>
      </c>
      <c r="F26" s="5">
        <v>51309031.689999998</v>
      </c>
      <c r="G26" s="6">
        <v>3.2000000000000001E-2</v>
      </c>
      <c r="H26" s="1">
        <v>0</v>
      </c>
      <c r="I26" s="1"/>
    </row>
    <row r="27" spans="1:9" x14ac:dyDescent="0.3">
      <c r="A27" s="1" t="s">
        <v>20</v>
      </c>
      <c r="B27" s="1" t="s">
        <v>15</v>
      </c>
      <c r="C27" s="1" t="s">
        <v>17</v>
      </c>
      <c r="D27" s="1">
        <v>4096</v>
      </c>
      <c r="E27" s="3">
        <v>56.07</v>
      </c>
      <c r="F27" s="5">
        <v>17835992.48</v>
      </c>
      <c r="G27" s="6">
        <v>8.9999999999999993E-3</v>
      </c>
      <c r="H27" s="1">
        <v>0</v>
      </c>
      <c r="I27" s="1"/>
    </row>
    <row r="28" spans="1:9" x14ac:dyDescent="0.3">
      <c r="A28" s="1" t="s">
        <v>20</v>
      </c>
      <c r="B28" s="1" t="s">
        <v>18</v>
      </c>
      <c r="C28" s="1" t="s">
        <v>16</v>
      </c>
      <c r="D28" s="1">
        <v>4096</v>
      </c>
      <c r="E28" s="3">
        <v>24.23</v>
      </c>
      <c r="F28" s="5">
        <v>41268274.009999998</v>
      </c>
      <c r="G28" s="6">
        <v>4.1000000000000002E-2</v>
      </c>
      <c r="H28" s="1">
        <v>0</v>
      </c>
      <c r="I28" s="1"/>
    </row>
    <row r="29" spans="1:9" x14ac:dyDescent="0.3">
      <c r="A29" s="1" t="s">
        <v>20</v>
      </c>
      <c r="B29" s="1" t="s">
        <v>18</v>
      </c>
      <c r="C29" s="1" t="s">
        <v>17</v>
      </c>
      <c r="D29" s="1">
        <v>4096</v>
      </c>
      <c r="E29" s="3">
        <v>36.96</v>
      </c>
      <c r="F29" s="5">
        <v>27055769.5</v>
      </c>
      <c r="G29" s="6">
        <v>8.0000000000000002E-3</v>
      </c>
      <c r="H29" s="1">
        <v>0</v>
      </c>
      <c r="I29" s="1"/>
    </row>
    <row r="30" spans="1:9" x14ac:dyDescent="0.3">
      <c r="A30" s="1" t="s">
        <v>20</v>
      </c>
      <c r="B30" s="1" t="s">
        <v>19</v>
      </c>
      <c r="C30" s="1" t="s">
        <v>16</v>
      </c>
      <c r="D30" s="1">
        <v>4096</v>
      </c>
      <c r="E30" s="3">
        <v>25.27</v>
      </c>
      <c r="F30" s="5">
        <v>39579468.149999999</v>
      </c>
      <c r="G30" s="6">
        <v>7.0000000000000001E-3</v>
      </c>
      <c r="H30" s="1">
        <v>0</v>
      </c>
      <c r="I30" s="1"/>
    </row>
    <row r="31" spans="1:9" x14ac:dyDescent="0.3">
      <c r="A31" s="1" t="s">
        <v>20</v>
      </c>
      <c r="B31" s="1" t="s">
        <v>19</v>
      </c>
      <c r="C31" s="1" t="s">
        <v>17</v>
      </c>
      <c r="D31" s="1">
        <v>4096</v>
      </c>
      <c r="E31" s="3">
        <v>62.53</v>
      </c>
      <c r="F31" s="5">
        <v>15993127.949999999</v>
      </c>
      <c r="G31" s="6">
        <v>1.2999999999999999E-2</v>
      </c>
      <c r="H31" s="1">
        <v>0</v>
      </c>
      <c r="I31" s="1"/>
    </row>
    <row r="32" spans="1:9" x14ac:dyDescent="0.3">
      <c r="A32" s="1" t="s">
        <v>20</v>
      </c>
      <c r="B32" s="1" t="s">
        <v>15</v>
      </c>
      <c r="C32" s="1" t="s">
        <v>16</v>
      </c>
      <c r="D32" s="1">
        <v>16384</v>
      </c>
      <c r="E32" s="3">
        <v>23.31</v>
      </c>
      <c r="F32" s="5">
        <v>42899822.729999997</v>
      </c>
      <c r="G32" s="6">
        <v>6.7000000000000004E-2</v>
      </c>
      <c r="H32" s="1">
        <v>0</v>
      </c>
      <c r="I32" s="1" t="s">
        <v>39</v>
      </c>
    </row>
    <row r="33" spans="1:9" x14ac:dyDescent="0.3">
      <c r="A33" s="1" t="s">
        <v>20</v>
      </c>
      <c r="B33" s="1" t="s">
        <v>15</v>
      </c>
      <c r="C33" s="1" t="s">
        <v>17</v>
      </c>
      <c r="D33" s="1">
        <v>16384</v>
      </c>
      <c r="E33" s="3">
        <v>70.010000000000005</v>
      </c>
      <c r="F33" s="5">
        <v>14284319.33</v>
      </c>
      <c r="G33" s="6">
        <v>1.4999999999999999E-2</v>
      </c>
      <c r="H33" s="1">
        <v>0.01</v>
      </c>
      <c r="I33" s="1"/>
    </row>
    <row r="34" spans="1:9" x14ac:dyDescent="0.3">
      <c r="A34" s="1" t="s">
        <v>20</v>
      </c>
      <c r="B34" s="1" t="s">
        <v>18</v>
      </c>
      <c r="C34" s="1" t="s">
        <v>16</v>
      </c>
      <c r="D34" s="1">
        <v>16384</v>
      </c>
      <c r="E34" s="3">
        <v>29.2</v>
      </c>
      <c r="F34" s="5">
        <v>34252002.25</v>
      </c>
      <c r="G34" s="6">
        <v>3.5000000000000003E-2</v>
      </c>
      <c r="H34" s="1">
        <v>0.01</v>
      </c>
      <c r="I34" s="1"/>
    </row>
    <row r="35" spans="1:9" x14ac:dyDescent="0.3">
      <c r="A35" s="1" t="s">
        <v>20</v>
      </c>
      <c r="B35" s="1" t="s">
        <v>18</v>
      </c>
      <c r="C35" s="1" t="s">
        <v>17</v>
      </c>
      <c r="D35" s="1">
        <v>16384</v>
      </c>
      <c r="E35" s="3">
        <v>56.17</v>
      </c>
      <c r="F35" s="5">
        <v>17802638.879999999</v>
      </c>
      <c r="G35" s="6">
        <v>1.9E-2</v>
      </c>
      <c r="H35" s="1">
        <v>0.01</v>
      </c>
      <c r="I35" s="1"/>
    </row>
    <row r="36" spans="1:9" x14ac:dyDescent="0.3">
      <c r="A36" s="1" t="s">
        <v>20</v>
      </c>
      <c r="B36" s="1" t="s">
        <v>19</v>
      </c>
      <c r="C36" s="1" t="s">
        <v>16</v>
      </c>
      <c r="D36" s="1">
        <v>16384</v>
      </c>
      <c r="E36" s="3">
        <v>30.53</v>
      </c>
      <c r="F36" s="5">
        <v>32750707.629999999</v>
      </c>
      <c r="G36" s="6">
        <v>1.7999999999999999E-2</v>
      </c>
      <c r="H36" s="1">
        <v>0.01</v>
      </c>
      <c r="I36" s="1"/>
    </row>
    <row r="37" spans="1:9" x14ac:dyDescent="0.3">
      <c r="A37" s="1" t="s">
        <v>20</v>
      </c>
      <c r="B37" s="1" t="s">
        <v>19</v>
      </c>
      <c r="C37" s="1" t="s">
        <v>17</v>
      </c>
      <c r="D37" s="1">
        <v>16384</v>
      </c>
      <c r="E37" s="3">
        <v>78.569999999999993</v>
      </c>
      <c r="F37" s="5">
        <v>12727413.970000001</v>
      </c>
      <c r="G37" s="6">
        <v>1.6E-2</v>
      </c>
      <c r="H37" s="1">
        <v>0.01</v>
      </c>
      <c r="I37" s="1"/>
    </row>
    <row r="38" spans="1:9" x14ac:dyDescent="0.3">
      <c r="A38" s="1" t="s">
        <v>20</v>
      </c>
      <c r="B38" s="1" t="s">
        <v>15</v>
      </c>
      <c r="C38" s="1" t="s">
        <v>16</v>
      </c>
      <c r="D38" s="1">
        <v>65536</v>
      </c>
      <c r="E38" s="3">
        <v>58.35</v>
      </c>
      <c r="F38" s="5">
        <v>17138111.170000002</v>
      </c>
      <c r="G38" s="6">
        <v>2.5999999999999999E-2</v>
      </c>
      <c r="H38" s="1">
        <v>0.03</v>
      </c>
      <c r="I38" s="1"/>
    </row>
    <row r="39" spans="1:9" x14ac:dyDescent="0.3">
      <c r="A39" s="1" t="s">
        <v>20</v>
      </c>
      <c r="B39" s="1" t="s">
        <v>15</v>
      </c>
      <c r="C39" s="1" t="s">
        <v>17</v>
      </c>
      <c r="D39" s="1">
        <v>65536</v>
      </c>
      <c r="E39" s="3">
        <v>95.71</v>
      </c>
      <c r="F39" s="5">
        <v>10448616.42</v>
      </c>
      <c r="G39" s="6">
        <v>8.0000000000000002E-3</v>
      </c>
      <c r="H39" s="1">
        <v>7.0000000000000007E-2</v>
      </c>
      <c r="I39" s="1"/>
    </row>
    <row r="40" spans="1:9" x14ac:dyDescent="0.3">
      <c r="A40" s="1" t="s">
        <v>20</v>
      </c>
      <c r="B40" s="1" t="s">
        <v>18</v>
      </c>
      <c r="C40" s="1" t="s">
        <v>16</v>
      </c>
      <c r="D40" s="1">
        <v>65536</v>
      </c>
      <c r="E40" s="3">
        <v>73.709999999999994</v>
      </c>
      <c r="F40" s="5">
        <v>13566210</v>
      </c>
      <c r="G40" s="6">
        <v>9.4E-2</v>
      </c>
      <c r="H40" s="1">
        <v>0.04</v>
      </c>
      <c r="I40" s="1" t="s">
        <v>39</v>
      </c>
    </row>
    <row r="41" spans="1:9" x14ac:dyDescent="0.3">
      <c r="A41" s="1" t="s">
        <v>20</v>
      </c>
      <c r="B41" s="1" t="s">
        <v>18</v>
      </c>
      <c r="C41" s="1" t="s">
        <v>17</v>
      </c>
      <c r="D41" s="1">
        <v>65536</v>
      </c>
      <c r="E41" s="3">
        <v>99.73</v>
      </c>
      <c r="F41" s="5">
        <v>10027506.18</v>
      </c>
      <c r="G41" s="6">
        <v>9.7000000000000003E-2</v>
      </c>
      <c r="H41" s="1">
        <v>7.0000000000000007E-2</v>
      </c>
      <c r="I41" s="1" t="s">
        <v>39</v>
      </c>
    </row>
    <row r="42" spans="1:9" x14ac:dyDescent="0.3">
      <c r="A42" s="1" t="s">
        <v>20</v>
      </c>
      <c r="B42" s="1" t="s">
        <v>19</v>
      </c>
      <c r="C42" s="1" t="s">
        <v>16</v>
      </c>
      <c r="D42" s="1">
        <v>65536</v>
      </c>
      <c r="E42" s="3">
        <v>33.840000000000003</v>
      </c>
      <c r="F42" s="5">
        <v>29548632.199999999</v>
      </c>
      <c r="G42" s="6">
        <v>4.4999999999999998E-2</v>
      </c>
      <c r="H42" s="1">
        <v>0.04</v>
      </c>
      <c r="I42" s="1"/>
    </row>
    <row r="43" spans="1:9" x14ac:dyDescent="0.3">
      <c r="A43" s="1" t="s">
        <v>20</v>
      </c>
      <c r="B43" s="1" t="s">
        <v>19</v>
      </c>
      <c r="C43" s="1" t="s">
        <v>17</v>
      </c>
      <c r="D43" s="1">
        <v>65536</v>
      </c>
      <c r="E43" s="3">
        <v>119.48</v>
      </c>
      <c r="F43" s="5">
        <v>8369390.2699999996</v>
      </c>
      <c r="G43" s="6">
        <v>2.3E-2</v>
      </c>
      <c r="H43" s="1">
        <v>0.09</v>
      </c>
      <c r="I43" s="1"/>
    </row>
    <row r="44" spans="1:9" x14ac:dyDescent="0.3">
      <c r="A44" s="1" t="s">
        <v>20</v>
      </c>
      <c r="B44" s="1" t="s">
        <v>15</v>
      </c>
      <c r="C44" s="1" t="s">
        <v>16</v>
      </c>
      <c r="D44" s="1">
        <v>262144</v>
      </c>
      <c r="E44" s="3">
        <v>73.88</v>
      </c>
      <c r="F44" s="5">
        <v>13536306.33</v>
      </c>
      <c r="G44" s="6">
        <v>4.5999999999999999E-2</v>
      </c>
      <c r="H44" s="1">
        <v>0.2</v>
      </c>
      <c r="I44" s="1"/>
    </row>
    <row r="45" spans="1:9" x14ac:dyDescent="0.3">
      <c r="A45" s="1" t="s">
        <v>20</v>
      </c>
      <c r="B45" s="1" t="s">
        <v>15</v>
      </c>
      <c r="C45" s="1" t="s">
        <v>17</v>
      </c>
      <c r="D45" s="1">
        <v>262144</v>
      </c>
      <c r="E45" s="3">
        <v>201.07</v>
      </c>
      <c r="F45" s="5">
        <v>4973460.2</v>
      </c>
      <c r="G45" s="6">
        <v>0.21099999999999999</v>
      </c>
      <c r="H45" s="1">
        <v>0.56999999999999995</v>
      </c>
      <c r="I45" s="1" t="s">
        <v>39</v>
      </c>
    </row>
    <row r="46" spans="1:9" x14ac:dyDescent="0.3">
      <c r="A46" s="1" t="s">
        <v>20</v>
      </c>
      <c r="B46" s="1" t="s">
        <v>18</v>
      </c>
      <c r="C46" s="1" t="s">
        <v>16</v>
      </c>
      <c r="D46" s="1">
        <v>262144</v>
      </c>
      <c r="E46" s="3">
        <v>79.67</v>
      </c>
      <c r="F46" s="5">
        <v>12552102.710000001</v>
      </c>
      <c r="G46" s="6">
        <v>4.1000000000000002E-2</v>
      </c>
      <c r="H46" s="1">
        <v>0.23</v>
      </c>
      <c r="I46" s="1"/>
    </row>
    <row r="47" spans="1:9" x14ac:dyDescent="0.3">
      <c r="A47" s="1" t="s">
        <v>20</v>
      </c>
      <c r="B47" s="1" t="s">
        <v>18</v>
      </c>
      <c r="C47" s="1" t="s">
        <v>17</v>
      </c>
      <c r="D47" s="1">
        <v>262144</v>
      </c>
      <c r="E47" s="3">
        <v>198.84</v>
      </c>
      <c r="F47" s="5">
        <v>5029138.4000000004</v>
      </c>
      <c r="G47" s="6">
        <v>2.7E-2</v>
      </c>
      <c r="H47" s="1">
        <v>0.56999999999999995</v>
      </c>
      <c r="I47" s="1"/>
    </row>
    <row r="48" spans="1:9" x14ac:dyDescent="0.3">
      <c r="A48" s="1" t="s">
        <v>20</v>
      </c>
      <c r="B48" s="1" t="s">
        <v>19</v>
      </c>
      <c r="C48" s="1" t="s">
        <v>16</v>
      </c>
      <c r="D48" s="1">
        <v>262144</v>
      </c>
      <c r="E48" s="3">
        <v>43.55</v>
      </c>
      <c r="F48" s="5">
        <v>22961346.620000001</v>
      </c>
      <c r="G48" s="6">
        <v>5.5E-2</v>
      </c>
      <c r="H48" s="1">
        <v>0.23</v>
      </c>
      <c r="I48" s="1" t="s">
        <v>39</v>
      </c>
    </row>
    <row r="49" spans="1:9" x14ac:dyDescent="0.3">
      <c r="A49" s="1" t="s">
        <v>20</v>
      </c>
      <c r="B49" s="1" t="s">
        <v>19</v>
      </c>
      <c r="C49" s="1" t="s">
        <v>17</v>
      </c>
      <c r="D49" s="1">
        <v>262144</v>
      </c>
      <c r="E49" s="3">
        <v>192.01</v>
      </c>
      <c r="F49" s="5">
        <v>5208144.8</v>
      </c>
      <c r="G49" s="6">
        <v>1.2999999999999999E-2</v>
      </c>
      <c r="H49" s="1">
        <v>0.55000000000000004</v>
      </c>
      <c r="I49" s="1"/>
    </row>
    <row r="50" spans="1:9" x14ac:dyDescent="0.3">
      <c r="A50" s="1" t="s">
        <v>21</v>
      </c>
      <c r="B50" s="1" t="s">
        <v>15</v>
      </c>
      <c r="C50" s="1" t="s">
        <v>16</v>
      </c>
      <c r="D50" s="1">
        <v>4096</v>
      </c>
      <c r="E50" s="3">
        <v>16.91</v>
      </c>
      <c r="F50" s="5">
        <v>59132644.219999999</v>
      </c>
      <c r="G50" s="6">
        <v>2.4E-2</v>
      </c>
      <c r="H50" s="1">
        <v>0</v>
      </c>
      <c r="I50" s="1"/>
    </row>
    <row r="51" spans="1:9" x14ac:dyDescent="0.3">
      <c r="A51" s="1" t="s">
        <v>21</v>
      </c>
      <c r="B51" s="1" t="s">
        <v>15</v>
      </c>
      <c r="C51" s="1" t="s">
        <v>17</v>
      </c>
      <c r="D51" s="1">
        <v>4096</v>
      </c>
      <c r="E51" s="3">
        <v>59.36</v>
      </c>
      <c r="F51" s="5">
        <v>16846330.699999999</v>
      </c>
      <c r="G51" s="6">
        <v>2.1999999999999999E-2</v>
      </c>
      <c r="H51" s="1">
        <v>0</v>
      </c>
      <c r="I51" s="1"/>
    </row>
    <row r="52" spans="1:9" x14ac:dyDescent="0.3">
      <c r="A52" s="1" t="s">
        <v>21</v>
      </c>
      <c r="B52" s="1" t="s">
        <v>18</v>
      </c>
      <c r="C52" s="1" t="s">
        <v>16</v>
      </c>
      <c r="D52" s="1">
        <v>4096</v>
      </c>
      <c r="E52" s="3">
        <v>15.11</v>
      </c>
      <c r="F52" s="5">
        <v>66183005.060000002</v>
      </c>
      <c r="G52" s="6">
        <v>5.7000000000000002E-2</v>
      </c>
      <c r="H52" s="1">
        <v>0</v>
      </c>
      <c r="I52" s="1" t="s">
        <v>39</v>
      </c>
    </row>
    <row r="53" spans="1:9" x14ac:dyDescent="0.3">
      <c r="A53" s="1" t="s">
        <v>21</v>
      </c>
      <c r="B53" s="1" t="s">
        <v>18</v>
      </c>
      <c r="C53" s="1" t="s">
        <v>17</v>
      </c>
      <c r="D53" s="1">
        <v>4096</v>
      </c>
      <c r="E53" s="3">
        <v>38.5</v>
      </c>
      <c r="F53" s="5">
        <v>25976661.59</v>
      </c>
      <c r="G53" s="6">
        <v>3.4000000000000002E-2</v>
      </c>
      <c r="H53" s="1">
        <v>0</v>
      </c>
      <c r="I53" s="1"/>
    </row>
    <row r="54" spans="1:9" x14ac:dyDescent="0.3">
      <c r="A54" s="1" t="s">
        <v>21</v>
      </c>
      <c r="B54" s="1" t="s">
        <v>19</v>
      </c>
      <c r="C54" s="1" t="s">
        <v>16</v>
      </c>
      <c r="D54" s="1">
        <v>4096</v>
      </c>
      <c r="E54" s="3">
        <v>20.28</v>
      </c>
      <c r="F54" s="5">
        <v>49319686.939999998</v>
      </c>
      <c r="G54" s="6">
        <v>1.7000000000000001E-2</v>
      </c>
      <c r="H54" s="1">
        <v>0</v>
      </c>
      <c r="I54" s="1"/>
    </row>
    <row r="55" spans="1:9" x14ac:dyDescent="0.3">
      <c r="A55" s="1" t="s">
        <v>21</v>
      </c>
      <c r="B55" s="1" t="s">
        <v>19</v>
      </c>
      <c r="C55" s="1" t="s">
        <v>17</v>
      </c>
      <c r="D55" s="1">
        <v>4096</v>
      </c>
      <c r="E55" s="3">
        <v>62.91</v>
      </c>
      <c r="F55" s="5">
        <v>15895191.08</v>
      </c>
      <c r="G55" s="6">
        <v>1.9E-2</v>
      </c>
      <c r="H55" s="1">
        <v>0</v>
      </c>
      <c r="I55" s="1"/>
    </row>
    <row r="56" spans="1:9" x14ac:dyDescent="0.3">
      <c r="A56" s="1" t="s">
        <v>21</v>
      </c>
      <c r="B56" s="1" t="s">
        <v>15</v>
      </c>
      <c r="C56" s="1" t="s">
        <v>16</v>
      </c>
      <c r="D56" s="1">
        <v>16384</v>
      </c>
      <c r="E56" s="3">
        <v>17.93</v>
      </c>
      <c r="F56" s="5">
        <v>55786903.829999998</v>
      </c>
      <c r="G56" s="6">
        <v>3.7999999999999999E-2</v>
      </c>
      <c r="H56" s="1">
        <v>0</v>
      </c>
      <c r="I56" s="1"/>
    </row>
    <row r="57" spans="1:9" x14ac:dyDescent="0.3">
      <c r="A57" s="1" t="s">
        <v>21</v>
      </c>
      <c r="B57" s="1" t="s">
        <v>15</v>
      </c>
      <c r="C57" s="1" t="s">
        <v>17</v>
      </c>
      <c r="D57" s="1">
        <v>16384</v>
      </c>
      <c r="E57" s="3">
        <v>81.05</v>
      </c>
      <c r="F57" s="5">
        <v>12337433.01</v>
      </c>
      <c r="G57" s="6">
        <v>7.0000000000000001E-3</v>
      </c>
      <c r="H57" s="1">
        <v>0.01</v>
      </c>
      <c r="I57" s="1"/>
    </row>
    <row r="58" spans="1:9" x14ac:dyDescent="0.3">
      <c r="A58" s="1" t="s">
        <v>21</v>
      </c>
      <c r="B58" s="1" t="s">
        <v>18</v>
      </c>
      <c r="C58" s="1" t="s">
        <v>16</v>
      </c>
      <c r="D58" s="1">
        <v>16384</v>
      </c>
      <c r="E58" s="3">
        <v>16.77</v>
      </c>
      <c r="F58" s="5">
        <v>59626967.520000003</v>
      </c>
      <c r="G58" s="6">
        <v>1.2999999999999999E-2</v>
      </c>
      <c r="H58" s="1">
        <v>0</v>
      </c>
      <c r="I58" s="1"/>
    </row>
    <row r="59" spans="1:9" x14ac:dyDescent="0.3">
      <c r="A59" s="1" t="s">
        <v>21</v>
      </c>
      <c r="B59" s="1" t="s">
        <v>18</v>
      </c>
      <c r="C59" s="1" t="s">
        <v>17</v>
      </c>
      <c r="D59" s="1">
        <v>16384</v>
      </c>
      <c r="E59" s="3">
        <v>54.54</v>
      </c>
      <c r="F59" s="5">
        <v>18333614.949999999</v>
      </c>
      <c r="G59" s="6">
        <v>0.03</v>
      </c>
      <c r="H59" s="1">
        <v>0.01</v>
      </c>
      <c r="I59" s="1"/>
    </row>
    <row r="60" spans="1:9" x14ac:dyDescent="0.3">
      <c r="A60" s="1" t="s">
        <v>21</v>
      </c>
      <c r="B60" s="1" t="s">
        <v>19</v>
      </c>
      <c r="C60" s="1" t="s">
        <v>16</v>
      </c>
      <c r="D60" s="1">
        <v>16384</v>
      </c>
      <c r="E60" s="3">
        <v>22.81</v>
      </c>
      <c r="F60" s="5">
        <v>43835381.869999997</v>
      </c>
      <c r="G60" s="6">
        <v>0.06</v>
      </c>
      <c r="H60" s="1">
        <v>0</v>
      </c>
      <c r="I60" s="1" t="s">
        <v>39</v>
      </c>
    </row>
    <row r="61" spans="1:9" x14ac:dyDescent="0.3">
      <c r="A61" s="1" t="s">
        <v>21</v>
      </c>
      <c r="B61" s="1" t="s">
        <v>19</v>
      </c>
      <c r="C61" s="1" t="s">
        <v>17</v>
      </c>
      <c r="D61" s="1">
        <v>16384</v>
      </c>
      <c r="E61" s="3">
        <v>81.05</v>
      </c>
      <c r="F61" s="5">
        <v>12337618.82</v>
      </c>
      <c r="G61" s="6">
        <v>4.0000000000000001E-3</v>
      </c>
      <c r="H61" s="1">
        <v>0.01</v>
      </c>
      <c r="I61" s="1"/>
    </row>
    <row r="62" spans="1:9" x14ac:dyDescent="0.3">
      <c r="A62" s="1" t="s">
        <v>21</v>
      </c>
      <c r="B62" s="1" t="s">
        <v>15</v>
      </c>
      <c r="C62" s="1" t="s">
        <v>16</v>
      </c>
      <c r="D62" s="1">
        <v>65536</v>
      </c>
      <c r="E62" s="3">
        <v>19.14</v>
      </c>
      <c r="F62" s="5">
        <v>52237568.710000001</v>
      </c>
      <c r="G62" s="6">
        <v>2.1000000000000001E-2</v>
      </c>
      <c r="H62" s="1">
        <v>0.01</v>
      </c>
      <c r="I62" s="1"/>
    </row>
    <row r="63" spans="1:9" x14ac:dyDescent="0.3">
      <c r="A63" s="1" t="s">
        <v>21</v>
      </c>
      <c r="B63" s="1" t="s">
        <v>15</v>
      </c>
      <c r="C63" s="1" t="s">
        <v>17</v>
      </c>
      <c r="D63" s="1">
        <v>65536</v>
      </c>
      <c r="E63" s="3">
        <v>124.55</v>
      </c>
      <c r="F63" s="5">
        <v>8028929.4299999997</v>
      </c>
      <c r="G63" s="6">
        <v>6.0000000000000001E-3</v>
      </c>
      <c r="H63" s="1">
        <v>0.09</v>
      </c>
      <c r="I63" s="1"/>
    </row>
    <row r="64" spans="1:9" x14ac:dyDescent="0.3">
      <c r="A64" s="1" t="s">
        <v>21</v>
      </c>
      <c r="B64" s="1" t="s">
        <v>18</v>
      </c>
      <c r="C64" s="1" t="s">
        <v>16</v>
      </c>
      <c r="D64" s="1">
        <v>65536</v>
      </c>
      <c r="E64" s="3">
        <v>33.44</v>
      </c>
      <c r="F64" s="5">
        <v>29901425.129999999</v>
      </c>
      <c r="G64" s="6">
        <v>5.8000000000000003E-2</v>
      </c>
      <c r="H64" s="1">
        <v>0.02</v>
      </c>
      <c r="I64" s="1" t="s">
        <v>39</v>
      </c>
    </row>
    <row r="65" spans="1:9" x14ac:dyDescent="0.3">
      <c r="A65" s="1" t="s">
        <v>21</v>
      </c>
      <c r="B65" s="1" t="s">
        <v>18</v>
      </c>
      <c r="C65" s="1" t="s">
        <v>17</v>
      </c>
      <c r="D65" s="1">
        <v>65536</v>
      </c>
      <c r="E65" s="3">
        <v>94.48</v>
      </c>
      <c r="F65" s="5">
        <v>10583781.050000001</v>
      </c>
      <c r="G65" s="6">
        <v>3.4000000000000002E-2</v>
      </c>
      <c r="H65" s="1">
        <v>7.0000000000000007E-2</v>
      </c>
      <c r="I65" s="1"/>
    </row>
    <row r="66" spans="1:9" x14ac:dyDescent="0.3">
      <c r="A66" s="1" t="s">
        <v>21</v>
      </c>
      <c r="B66" s="1" t="s">
        <v>19</v>
      </c>
      <c r="C66" s="1" t="s">
        <v>16</v>
      </c>
      <c r="D66" s="1">
        <v>65536</v>
      </c>
      <c r="E66" s="3">
        <v>27.76</v>
      </c>
      <c r="F66" s="5">
        <v>36025299.509999998</v>
      </c>
      <c r="G66" s="6">
        <v>8.9999999999999993E-3</v>
      </c>
      <c r="H66" s="1">
        <v>0.02</v>
      </c>
      <c r="I66" s="1"/>
    </row>
    <row r="67" spans="1:9" x14ac:dyDescent="0.3">
      <c r="A67" s="1" t="s">
        <v>21</v>
      </c>
      <c r="B67" s="1" t="s">
        <v>19</v>
      </c>
      <c r="C67" s="1" t="s">
        <v>17</v>
      </c>
      <c r="D67" s="1">
        <v>65536</v>
      </c>
      <c r="E67" s="3">
        <v>126.69</v>
      </c>
      <c r="F67" s="5">
        <v>7893249.3899999997</v>
      </c>
      <c r="G67" s="6">
        <v>8.0000000000000002E-3</v>
      </c>
      <c r="H67" s="1">
        <v>0.09</v>
      </c>
      <c r="I67" s="1"/>
    </row>
    <row r="68" spans="1:9" x14ac:dyDescent="0.3">
      <c r="A68" s="1" t="s">
        <v>21</v>
      </c>
      <c r="B68" s="1" t="s">
        <v>15</v>
      </c>
      <c r="C68" s="1" t="s">
        <v>16</v>
      </c>
      <c r="D68" s="1">
        <v>262144</v>
      </c>
      <c r="E68" s="3">
        <v>25.68</v>
      </c>
      <c r="F68" s="5">
        <v>38936199.759999998</v>
      </c>
      <c r="G68" s="6">
        <v>7.0000000000000007E-2</v>
      </c>
      <c r="H68" s="1">
        <v>7.0000000000000007E-2</v>
      </c>
      <c r="I68" s="1" t="s">
        <v>39</v>
      </c>
    </row>
    <row r="69" spans="1:9" x14ac:dyDescent="0.3">
      <c r="A69" s="1" t="s">
        <v>21</v>
      </c>
      <c r="B69" s="1" t="s">
        <v>15</v>
      </c>
      <c r="C69" s="1" t="s">
        <v>17</v>
      </c>
      <c r="D69" s="1">
        <v>262144</v>
      </c>
      <c r="E69" s="3">
        <v>211.17</v>
      </c>
      <c r="F69" s="5">
        <v>4735494.75</v>
      </c>
      <c r="G69" s="6">
        <v>6.0000000000000001E-3</v>
      </c>
      <c r="H69" s="1">
        <v>0.61</v>
      </c>
      <c r="I69" s="1"/>
    </row>
    <row r="70" spans="1:9" x14ac:dyDescent="0.3">
      <c r="A70" s="1" t="s">
        <v>21</v>
      </c>
      <c r="B70" s="1" t="s">
        <v>18</v>
      </c>
      <c r="C70" s="1" t="s">
        <v>16</v>
      </c>
      <c r="D70" s="1">
        <v>262144</v>
      </c>
      <c r="E70" s="3">
        <v>43.31</v>
      </c>
      <c r="F70" s="5">
        <v>23088185.77</v>
      </c>
      <c r="G70" s="6">
        <v>0.04</v>
      </c>
      <c r="H70" s="1">
        <v>0.12</v>
      </c>
      <c r="I70" s="1"/>
    </row>
    <row r="71" spans="1:9" x14ac:dyDescent="0.3">
      <c r="A71" s="1" t="s">
        <v>21</v>
      </c>
      <c r="B71" s="1" t="s">
        <v>18</v>
      </c>
      <c r="C71" s="1" t="s">
        <v>17</v>
      </c>
      <c r="D71" s="1">
        <v>262144</v>
      </c>
      <c r="E71" s="3">
        <v>175.54</v>
      </c>
      <c r="F71" s="5">
        <v>5696608.9800000004</v>
      </c>
      <c r="G71" s="6">
        <v>1.9E-2</v>
      </c>
      <c r="H71" s="1">
        <v>0.51</v>
      </c>
      <c r="I71" s="1"/>
    </row>
    <row r="72" spans="1:9" x14ac:dyDescent="0.3">
      <c r="A72" s="1" t="s">
        <v>21</v>
      </c>
      <c r="B72" s="1" t="s">
        <v>19</v>
      </c>
      <c r="C72" s="1" t="s">
        <v>16</v>
      </c>
      <c r="D72" s="1">
        <v>262144</v>
      </c>
      <c r="E72" s="3">
        <v>33.03</v>
      </c>
      <c r="F72" s="5">
        <v>30278466.629999999</v>
      </c>
      <c r="G72" s="6">
        <v>3.1E-2</v>
      </c>
      <c r="H72" s="1">
        <v>0.09</v>
      </c>
      <c r="I72" s="1"/>
    </row>
    <row r="73" spans="1:9" x14ac:dyDescent="0.3">
      <c r="A73" s="1" t="s">
        <v>21</v>
      </c>
      <c r="B73" s="1" t="s">
        <v>19</v>
      </c>
      <c r="C73" s="1" t="s">
        <v>17</v>
      </c>
      <c r="D73" s="1">
        <v>262144</v>
      </c>
      <c r="E73" s="3">
        <v>212.49</v>
      </c>
      <c r="F73" s="5">
        <v>4706000.12</v>
      </c>
      <c r="G73" s="6">
        <v>1.6E-2</v>
      </c>
      <c r="H73" s="1">
        <v>0.61</v>
      </c>
      <c r="I7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3"/>
  <sheetViews>
    <sheetView zoomScaleNormal="100" workbookViewId="0">
      <pane ySplit="1" topLeftCell="A35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8" customWidth="1"/>
    <col min="4" max="4" width="9" customWidth="1"/>
    <col min="5" max="5" width="10" customWidth="1"/>
    <col min="6" max="6" width="14" customWidth="1"/>
    <col min="7" max="7" width="8" customWidth="1"/>
    <col min="8" max="9" width="10" customWidth="1"/>
  </cols>
  <sheetData>
    <row r="1" spans="1:9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spans="1:9" x14ac:dyDescent="0.3">
      <c r="A2" s="1" t="s">
        <v>14</v>
      </c>
      <c r="B2" s="1" t="s">
        <v>15</v>
      </c>
      <c r="C2" s="1" t="s">
        <v>16</v>
      </c>
      <c r="D2" s="1">
        <v>4096</v>
      </c>
      <c r="E2" s="3">
        <v>48.12</v>
      </c>
      <c r="F2" s="5">
        <v>20780841.079999998</v>
      </c>
      <c r="G2" s="6">
        <v>1.4E-2</v>
      </c>
      <c r="H2" s="1">
        <v>0.12</v>
      </c>
      <c r="I2" s="1"/>
    </row>
    <row r="3" spans="1:9" x14ac:dyDescent="0.3">
      <c r="A3" s="1" t="s">
        <v>14</v>
      </c>
      <c r="B3" s="1" t="s">
        <v>15</v>
      </c>
      <c r="C3" s="1" t="s">
        <v>17</v>
      </c>
      <c r="D3" s="1">
        <v>4096</v>
      </c>
      <c r="E3" s="3">
        <v>41.84</v>
      </c>
      <c r="F3" s="5">
        <v>23900467.079999998</v>
      </c>
      <c r="G3" s="6">
        <v>8.9999999999999993E-3</v>
      </c>
      <c r="H3" s="1">
        <v>0.1</v>
      </c>
      <c r="I3" s="1"/>
    </row>
    <row r="4" spans="1:9" x14ac:dyDescent="0.3">
      <c r="A4" s="1" t="s">
        <v>14</v>
      </c>
      <c r="B4" s="1" t="s">
        <v>18</v>
      </c>
      <c r="C4" s="1" t="s">
        <v>16</v>
      </c>
      <c r="D4" s="1">
        <v>4096</v>
      </c>
      <c r="E4" s="3">
        <v>14.16</v>
      </c>
      <c r="F4" s="5">
        <v>70602911.120000005</v>
      </c>
      <c r="G4" s="6">
        <v>1.2E-2</v>
      </c>
      <c r="H4" s="1">
        <v>0.03</v>
      </c>
      <c r="I4" s="1"/>
    </row>
    <row r="5" spans="1:9" x14ac:dyDescent="0.3">
      <c r="A5" s="1" t="s">
        <v>14</v>
      </c>
      <c r="B5" s="1" t="s">
        <v>18</v>
      </c>
      <c r="C5" s="1" t="s">
        <v>17</v>
      </c>
      <c r="D5" s="1">
        <v>4096</v>
      </c>
      <c r="E5" s="3">
        <v>13.24</v>
      </c>
      <c r="F5" s="5">
        <v>75526516.209999993</v>
      </c>
      <c r="G5" s="6">
        <v>3.0000000000000001E-3</v>
      </c>
      <c r="H5" s="1">
        <v>0.03</v>
      </c>
      <c r="I5" s="1"/>
    </row>
    <row r="6" spans="1:9" x14ac:dyDescent="0.3">
      <c r="A6" s="1" t="s">
        <v>14</v>
      </c>
      <c r="B6" s="1" t="s">
        <v>19</v>
      </c>
      <c r="C6" s="1" t="s">
        <v>16</v>
      </c>
      <c r="D6" s="1">
        <v>4096</v>
      </c>
      <c r="E6" s="3">
        <v>9.73</v>
      </c>
      <c r="F6" s="5">
        <v>102740028.54000001</v>
      </c>
      <c r="G6" s="6">
        <v>8.9999999999999993E-3</v>
      </c>
      <c r="H6" s="1">
        <v>0.02</v>
      </c>
      <c r="I6" s="1"/>
    </row>
    <row r="7" spans="1:9" x14ac:dyDescent="0.3">
      <c r="A7" s="1" t="s">
        <v>14</v>
      </c>
      <c r="B7" s="1" t="s">
        <v>19</v>
      </c>
      <c r="C7" s="1" t="s">
        <v>17</v>
      </c>
      <c r="D7" s="1">
        <v>4096</v>
      </c>
      <c r="E7" s="3">
        <v>11.74</v>
      </c>
      <c r="F7" s="5">
        <v>85210143.299999997</v>
      </c>
      <c r="G7" s="6">
        <v>1.2E-2</v>
      </c>
      <c r="H7" s="1">
        <v>0.03</v>
      </c>
      <c r="I7" s="1"/>
    </row>
    <row r="8" spans="1:9" x14ac:dyDescent="0.3">
      <c r="A8" s="1" t="s">
        <v>14</v>
      </c>
      <c r="B8" s="1" t="s">
        <v>15</v>
      </c>
      <c r="C8" s="1" t="s">
        <v>16</v>
      </c>
      <c r="D8" s="1">
        <v>16384</v>
      </c>
      <c r="E8" s="3">
        <v>65.91</v>
      </c>
      <c r="F8" s="5">
        <v>15172493.289999999</v>
      </c>
      <c r="G8" s="6">
        <v>6.0000000000000001E-3</v>
      </c>
      <c r="H8" s="1">
        <v>0.16</v>
      </c>
      <c r="I8" s="1"/>
    </row>
    <row r="9" spans="1:9" x14ac:dyDescent="0.3">
      <c r="A9" s="1" t="s">
        <v>14</v>
      </c>
      <c r="B9" s="1" t="s">
        <v>15</v>
      </c>
      <c r="C9" s="1" t="s">
        <v>17</v>
      </c>
      <c r="D9" s="1">
        <v>16384</v>
      </c>
      <c r="E9" s="3">
        <v>58.84</v>
      </c>
      <c r="F9" s="5">
        <v>16996275.210000001</v>
      </c>
      <c r="G9" s="6">
        <v>7.0000000000000001E-3</v>
      </c>
      <c r="H9" s="1">
        <v>0.14000000000000001</v>
      </c>
      <c r="I9" s="1"/>
    </row>
    <row r="10" spans="1:9" x14ac:dyDescent="0.3">
      <c r="A10" s="1" t="s">
        <v>14</v>
      </c>
      <c r="B10" s="1" t="s">
        <v>18</v>
      </c>
      <c r="C10" s="1" t="s">
        <v>16</v>
      </c>
      <c r="D10" s="1">
        <v>16384</v>
      </c>
      <c r="E10" s="3">
        <v>26.8</v>
      </c>
      <c r="F10" s="5">
        <v>37309003.869999997</v>
      </c>
      <c r="G10" s="6">
        <v>7.0000000000000001E-3</v>
      </c>
      <c r="H10" s="1">
        <v>0.06</v>
      </c>
      <c r="I10" s="1"/>
    </row>
    <row r="11" spans="1:9" x14ac:dyDescent="0.3">
      <c r="A11" s="1" t="s">
        <v>14</v>
      </c>
      <c r="B11" s="1" t="s">
        <v>18</v>
      </c>
      <c r="C11" s="1" t="s">
        <v>17</v>
      </c>
      <c r="D11" s="1">
        <v>16384</v>
      </c>
      <c r="E11" s="3">
        <v>24.22</v>
      </c>
      <c r="F11" s="5">
        <v>41290725.710000001</v>
      </c>
      <c r="G11" s="6">
        <v>1.0999999999999999E-2</v>
      </c>
      <c r="H11" s="1">
        <v>0.06</v>
      </c>
      <c r="I11" s="1"/>
    </row>
    <row r="12" spans="1:9" x14ac:dyDescent="0.3">
      <c r="A12" s="1" t="s">
        <v>14</v>
      </c>
      <c r="B12" s="1" t="s">
        <v>19</v>
      </c>
      <c r="C12" s="1" t="s">
        <v>16</v>
      </c>
      <c r="D12" s="1">
        <v>16384</v>
      </c>
      <c r="E12" s="3">
        <v>18.399999999999999</v>
      </c>
      <c r="F12" s="5">
        <v>54357282.590000004</v>
      </c>
      <c r="G12" s="6">
        <v>8.0000000000000002E-3</v>
      </c>
      <c r="H12" s="1">
        <v>0.04</v>
      </c>
      <c r="I12" s="1"/>
    </row>
    <row r="13" spans="1:9" x14ac:dyDescent="0.3">
      <c r="A13" s="1" t="s">
        <v>14</v>
      </c>
      <c r="B13" s="1" t="s">
        <v>19</v>
      </c>
      <c r="C13" s="1" t="s">
        <v>17</v>
      </c>
      <c r="D13" s="1">
        <v>16384</v>
      </c>
      <c r="E13" s="3">
        <v>21.75</v>
      </c>
      <c r="F13" s="5">
        <v>45983857.960000001</v>
      </c>
      <c r="G13" s="6">
        <v>1.7999999999999999E-2</v>
      </c>
      <c r="H13" s="1">
        <v>0.05</v>
      </c>
      <c r="I13" s="1"/>
    </row>
    <row r="14" spans="1:9" x14ac:dyDescent="0.3">
      <c r="A14" s="1" t="s">
        <v>14</v>
      </c>
      <c r="B14" s="1" t="s">
        <v>15</v>
      </c>
      <c r="C14" s="1" t="s">
        <v>16</v>
      </c>
      <c r="D14" s="1">
        <v>65536</v>
      </c>
      <c r="E14" s="3">
        <v>101.62</v>
      </c>
      <c r="F14" s="5">
        <v>9840334.1300000008</v>
      </c>
      <c r="G14" s="6">
        <v>1.6E-2</v>
      </c>
      <c r="H14" s="1">
        <v>0.25</v>
      </c>
      <c r="I14" s="1"/>
    </row>
    <row r="15" spans="1:9" x14ac:dyDescent="0.3">
      <c r="A15" s="1" t="s">
        <v>14</v>
      </c>
      <c r="B15" s="1" t="s">
        <v>15</v>
      </c>
      <c r="C15" s="1" t="s">
        <v>17</v>
      </c>
      <c r="D15" s="1">
        <v>65536</v>
      </c>
      <c r="E15" s="3">
        <v>95.42</v>
      </c>
      <c r="F15" s="5">
        <v>10480380.01</v>
      </c>
      <c r="G15" s="6">
        <v>5.0000000000000001E-3</v>
      </c>
      <c r="H15" s="1">
        <v>0.23</v>
      </c>
      <c r="I15" s="1"/>
    </row>
    <row r="16" spans="1:9" x14ac:dyDescent="0.3">
      <c r="A16" s="1" t="s">
        <v>14</v>
      </c>
      <c r="B16" s="1" t="s">
        <v>18</v>
      </c>
      <c r="C16" s="1" t="s">
        <v>16</v>
      </c>
      <c r="D16" s="1">
        <v>65536</v>
      </c>
      <c r="E16" s="3">
        <v>40.4</v>
      </c>
      <c r="F16" s="5">
        <v>24753208.809999999</v>
      </c>
      <c r="G16" s="6">
        <v>8.0000000000000002E-3</v>
      </c>
      <c r="H16" s="1">
        <v>0.1</v>
      </c>
      <c r="I16" s="1"/>
    </row>
    <row r="17" spans="1:9" x14ac:dyDescent="0.3">
      <c r="A17" s="1" t="s">
        <v>14</v>
      </c>
      <c r="B17" s="1" t="s">
        <v>18</v>
      </c>
      <c r="C17" s="1" t="s">
        <v>17</v>
      </c>
      <c r="D17" s="1">
        <v>65536</v>
      </c>
      <c r="E17" s="3">
        <v>36.18</v>
      </c>
      <c r="F17" s="5">
        <v>27639099.239999998</v>
      </c>
      <c r="G17" s="6">
        <v>4.0000000000000001E-3</v>
      </c>
      <c r="H17" s="1">
        <v>0.09</v>
      </c>
      <c r="I17" s="1"/>
    </row>
    <row r="18" spans="1:9" x14ac:dyDescent="0.3">
      <c r="A18" s="1" t="s">
        <v>14</v>
      </c>
      <c r="B18" s="1" t="s">
        <v>19</v>
      </c>
      <c r="C18" s="1" t="s">
        <v>16</v>
      </c>
      <c r="D18" s="1">
        <v>65536</v>
      </c>
      <c r="E18" s="3">
        <v>26.18</v>
      </c>
      <c r="F18" s="5">
        <v>38194132.93</v>
      </c>
      <c r="G18" s="6">
        <v>8.0000000000000002E-3</v>
      </c>
      <c r="H18" s="1">
        <v>0.06</v>
      </c>
      <c r="I18" s="1"/>
    </row>
    <row r="19" spans="1:9" x14ac:dyDescent="0.3">
      <c r="A19" s="1" t="s">
        <v>14</v>
      </c>
      <c r="B19" s="1" t="s">
        <v>19</v>
      </c>
      <c r="C19" s="1" t="s">
        <v>17</v>
      </c>
      <c r="D19" s="1">
        <v>65536</v>
      </c>
      <c r="E19" s="3">
        <v>29.77</v>
      </c>
      <c r="F19" s="5">
        <v>33594335.299999997</v>
      </c>
      <c r="G19" s="6">
        <v>1.4999999999999999E-2</v>
      </c>
      <c r="H19" s="1">
        <v>7.0000000000000007E-2</v>
      </c>
      <c r="I19" s="1"/>
    </row>
    <row r="20" spans="1:9" x14ac:dyDescent="0.3">
      <c r="A20" s="1" t="s">
        <v>14</v>
      </c>
      <c r="B20" s="1" t="s">
        <v>15</v>
      </c>
      <c r="C20" s="1" t="s">
        <v>16</v>
      </c>
      <c r="D20" s="1">
        <v>262144</v>
      </c>
      <c r="E20" s="3">
        <v>175.29</v>
      </c>
      <c r="F20" s="5">
        <v>5704688.9500000002</v>
      </c>
      <c r="G20" s="6">
        <v>0.01</v>
      </c>
      <c r="H20" s="1">
        <v>0.43</v>
      </c>
      <c r="I20" s="1"/>
    </row>
    <row r="21" spans="1:9" x14ac:dyDescent="0.3">
      <c r="A21" s="1" t="s">
        <v>14</v>
      </c>
      <c r="B21" s="1" t="s">
        <v>15</v>
      </c>
      <c r="C21" s="1" t="s">
        <v>17</v>
      </c>
      <c r="D21" s="1">
        <v>262144</v>
      </c>
      <c r="E21" s="3">
        <v>177.43</v>
      </c>
      <c r="F21" s="5">
        <v>5635998.5700000003</v>
      </c>
      <c r="G21" s="6">
        <v>2.4E-2</v>
      </c>
      <c r="H21" s="1">
        <v>0.43</v>
      </c>
      <c r="I21" s="1"/>
    </row>
    <row r="22" spans="1:9" x14ac:dyDescent="0.3">
      <c r="A22" s="1" t="s">
        <v>14</v>
      </c>
      <c r="B22" s="1" t="s">
        <v>18</v>
      </c>
      <c r="C22" s="1" t="s">
        <v>16</v>
      </c>
      <c r="D22" s="1">
        <v>262144</v>
      </c>
      <c r="E22" s="3">
        <v>79.430000000000007</v>
      </c>
      <c r="F22" s="5">
        <v>12589607.560000001</v>
      </c>
      <c r="G22" s="6">
        <v>7.0000000000000001E-3</v>
      </c>
      <c r="H22" s="1">
        <v>0.19</v>
      </c>
      <c r="I22" s="1"/>
    </row>
    <row r="23" spans="1:9" x14ac:dyDescent="0.3">
      <c r="A23" s="1" t="s">
        <v>14</v>
      </c>
      <c r="B23" s="1" t="s">
        <v>18</v>
      </c>
      <c r="C23" s="1" t="s">
        <v>17</v>
      </c>
      <c r="D23" s="1">
        <v>262144</v>
      </c>
      <c r="E23" s="3">
        <v>83.41</v>
      </c>
      <c r="F23" s="5">
        <v>11988438.550000001</v>
      </c>
      <c r="G23" s="6">
        <v>6.5000000000000002E-2</v>
      </c>
      <c r="H23" s="1">
        <v>0.2</v>
      </c>
      <c r="I23" s="1" t="s">
        <v>39</v>
      </c>
    </row>
    <row r="24" spans="1:9" x14ac:dyDescent="0.3">
      <c r="A24" s="1" t="s">
        <v>14</v>
      </c>
      <c r="B24" s="1" t="s">
        <v>19</v>
      </c>
      <c r="C24" s="1" t="s">
        <v>16</v>
      </c>
      <c r="D24" s="1">
        <v>262144</v>
      </c>
      <c r="E24" s="3">
        <v>49.84</v>
      </c>
      <c r="F24" s="5">
        <v>20063413.760000002</v>
      </c>
      <c r="G24" s="6">
        <v>7.0000000000000001E-3</v>
      </c>
      <c r="H24" s="1">
        <v>0.12</v>
      </c>
      <c r="I24" s="1"/>
    </row>
    <row r="25" spans="1:9" x14ac:dyDescent="0.3">
      <c r="A25" s="1" t="s">
        <v>14</v>
      </c>
      <c r="B25" s="1" t="s">
        <v>19</v>
      </c>
      <c r="C25" s="1" t="s">
        <v>17</v>
      </c>
      <c r="D25" s="1">
        <v>262144</v>
      </c>
      <c r="E25" s="3">
        <v>53.39</v>
      </c>
      <c r="F25" s="5">
        <v>18728651.52</v>
      </c>
      <c r="G25" s="6">
        <v>1.0999999999999999E-2</v>
      </c>
      <c r="H25" s="1">
        <v>0.13</v>
      </c>
      <c r="I25" s="1"/>
    </row>
    <row r="26" spans="1:9" x14ac:dyDescent="0.3">
      <c r="A26" s="1" t="s">
        <v>20</v>
      </c>
      <c r="B26" s="1" t="s">
        <v>15</v>
      </c>
      <c r="C26" s="1" t="s">
        <v>16</v>
      </c>
      <c r="D26" s="1">
        <v>4096</v>
      </c>
      <c r="E26" s="3">
        <v>19.489999999999998</v>
      </c>
      <c r="F26" s="5">
        <v>51303890.380000003</v>
      </c>
      <c r="G26" s="6">
        <v>5.1999999999999998E-2</v>
      </c>
      <c r="H26" s="1">
        <v>0</v>
      </c>
      <c r="I26" s="1" t="s">
        <v>39</v>
      </c>
    </row>
    <row r="27" spans="1:9" x14ac:dyDescent="0.3">
      <c r="A27" s="1" t="s">
        <v>20</v>
      </c>
      <c r="B27" s="1" t="s">
        <v>15</v>
      </c>
      <c r="C27" s="1" t="s">
        <v>17</v>
      </c>
      <c r="D27" s="1">
        <v>4096</v>
      </c>
      <c r="E27" s="3">
        <v>56.4</v>
      </c>
      <c r="F27" s="5">
        <v>17730143.41</v>
      </c>
      <c r="G27" s="6">
        <v>2.8000000000000001E-2</v>
      </c>
      <c r="H27" s="1">
        <v>0</v>
      </c>
      <c r="I27" s="1"/>
    </row>
    <row r="28" spans="1:9" x14ac:dyDescent="0.3">
      <c r="A28" s="1" t="s">
        <v>20</v>
      </c>
      <c r="B28" s="1" t="s">
        <v>18</v>
      </c>
      <c r="C28" s="1" t="s">
        <v>16</v>
      </c>
      <c r="D28" s="1">
        <v>4096</v>
      </c>
      <c r="E28" s="3">
        <v>22.44</v>
      </c>
      <c r="F28" s="5">
        <v>44557094.219999999</v>
      </c>
      <c r="G28" s="6">
        <v>1.6E-2</v>
      </c>
      <c r="H28" s="1">
        <v>0</v>
      </c>
      <c r="I28" s="1"/>
    </row>
    <row r="29" spans="1:9" x14ac:dyDescent="0.3">
      <c r="A29" s="1" t="s">
        <v>20</v>
      </c>
      <c r="B29" s="1" t="s">
        <v>18</v>
      </c>
      <c r="C29" s="1" t="s">
        <v>17</v>
      </c>
      <c r="D29" s="1">
        <v>4096</v>
      </c>
      <c r="E29" s="3">
        <v>37.32</v>
      </c>
      <c r="F29" s="5">
        <v>26791904.870000001</v>
      </c>
      <c r="G29" s="6">
        <v>2.8000000000000001E-2</v>
      </c>
      <c r="H29" s="1">
        <v>0</v>
      </c>
      <c r="I29" s="1"/>
    </row>
    <row r="30" spans="1:9" x14ac:dyDescent="0.3">
      <c r="A30" s="1" t="s">
        <v>20</v>
      </c>
      <c r="B30" s="1" t="s">
        <v>19</v>
      </c>
      <c r="C30" s="1" t="s">
        <v>16</v>
      </c>
      <c r="D30" s="1">
        <v>4096</v>
      </c>
      <c r="E30" s="3">
        <v>25.31</v>
      </c>
      <c r="F30" s="5">
        <v>39511889.259999998</v>
      </c>
      <c r="G30" s="6">
        <v>8.9999999999999993E-3</v>
      </c>
      <c r="H30" s="1">
        <v>0</v>
      </c>
      <c r="I30" s="1"/>
    </row>
    <row r="31" spans="1:9" x14ac:dyDescent="0.3">
      <c r="A31" s="1" t="s">
        <v>20</v>
      </c>
      <c r="B31" s="1" t="s">
        <v>19</v>
      </c>
      <c r="C31" s="1" t="s">
        <v>17</v>
      </c>
      <c r="D31" s="1">
        <v>4096</v>
      </c>
      <c r="E31" s="3">
        <v>59.86</v>
      </c>
      <c r="F31" s="5">
        <v>16704390.199999999</v>
      </c>
      <c r="G31" s="6">
        <v>0.04</v>
      </c>
      <c r="H31" s="1">
        <v>0</v>
      </c>
      <c r="I31" s="1"/>
    </row>
    <row r="32" spans="1:9" x14ac:dyDescent="0.3">
      <c r="A32" s="1" t="s">
        <v>20</v>
      </c>
      <c r="B32" s="1" t="s">
        <v>15</v>
      </c>
      <c r="C32" s="1" t="s">
        <v>16</v>
      </c>
      <c r="D32" s="1">
        <v>16384</v>
      </c>
      <c r="E32" s="3">
        <v>24.17</v>
      </c>
      <c r="F32" s="5">
        <v>41370185.390000001</v>
      </c>
      <c r="G32" s="6">
        <v>6.6000000000000003E-2</v>
      </c>
      <c r="H32" s="1">
        <v>0</v>
      </c>
      <c r="I32" s="1" t="s">
        <v>39</v>
      </c>
    </row>
    <row r="33" spans="1:9" x14ac:dyDescent="0.3">
      <c r="A33" s="1" t="s">
        <v>20</v>
      </c>
      <c r="B33" s="1" t="s">
        <v>15</v>
      </c>
      <c r="C33" s="1" t="s">
        <v>17</v>
      </c>
      <c r="D33" s="1">
        <v>16384</v>
      </c>
      <c r="E33" s="3">
        <v>70.099999999999994</v>
      </c>
      <c r="F33" s="5">
        <v>14265451.99</v>
      </c>
      <c r="G33" s="6">
        <v>0.01</v>
      </c>
      <c r="H33" s="1">
        <v>0.01</v>
      </c>
      <c r="I33" s="1"/>
    </row>
    <row r="34" spans="1:9" x14ac:dyDescent="0.3">
      <c r="A34" s="1" t="s">
        <v>20</v>
      </c>
      <c r="B34" s="1" t="s">
        <v>18</v>
      </c>
      <c r="C34" s="1" t="s">
        <v>16</v>
      </c>
      <c r="D34" s="1">
        <v>16384</v>
      </c>
      <c r="E34" s="3">
        <v>29.47</v>
      </c>
      <c r="F34" s="5">
        <v>33932073.719999999</v>
      </c>
      <c r="G34" s="6">
        <v>1.7999999999999999E-2</v>
      </c>
      <c r="H34" s="1">
        <v>0.01</v>
      </c>
      <c r="I34" s="1"/>
    </row>
    <row r="35" spans="1:9" x14ac:dyDescent="0.3">
      <c r="A35" s="1" t="s">
        <v>20</v>
      </c>
      <c r="B35" s="1" t="s">
        <v>18</v>
      </c>
      <c r="C35" s="1" t="s">
        <v>17</v>
      </c>
      <c r="D35" s="1">
        <v>16384</v>
      </c>
      <c r="E35" s="3">
        <v>57.84</v>
      </c>
      <c r="F35" s="5">
        <v>17288280.82</v>
      </c>
      <c r="G35" s="6">
        <v>0.01</v>
      </c>
      <c r="H35" s="1">
        <v>0.01</v>
      </c>
      <c r="I35" s="1"/>
    </row>
    <row r="36" spans="1:9" x14ac:dyDescent="0.3">
      <c r="A36" s="1" t="s">
        <v>20</v>
      </c>
      <c r="B36" s="1" t="s">
        <v>19</v>
      </c>
      <c r="C36" s="1" t="s">
        <v>16</v>
      </c>
      <c r="D36" s="1">
        <v>16384</v>
      </c>
      <c r="E36" s="3">
        <v>29.34</v>
      </c>
      <c r="F36" s="5">
        <v>34084337.100000001</v>
      </c>
      <c r="G36" s="6">
        <v>3.2000000000000001E-2</v>
      </c>
      <c r="H36" s="1">
        <v>0.01</v>
      </c>
      <c r="I36" s="1"/>
    </row>
    <row r="37" spans="1:9" x14ac:dyDescent="0.3">
      <c r="A37" s="1" t="s">
        <v>20</v>
      </c>
      <c r="B37" s="1" t="s">
        <v>19</v>
      </c>
      <c r="C37" s="1" t="s">
        <v>17</v>
      </c>
      <c r="D37" s="1">
        <v>16384</v>
      </c>
      <c r="E37" s="3">
        <v>80.319999999999993</v>
      </c>
      <c r="F37" s="5">
        <v>12449431.779999999</v>
      </c>
      <c r="G37" s="6">
        <v>4.0000000000000001E-3</v>
      </c>
      <c r="H37" s="1">
        <v>0.01</v>
      </c>
      <c r="I37" s="1"/>
    </row>
    <row r="38" spans="1:9" x14ac:dyDescent="0.3">
      <c r="A38" s="1" t="s">
        <v>20</v>
      </c>
      <c r="B38" s="1" t="s">
        <v>15</v>
      </c>
      <c r="C38" s="1" t="s">
        <v>16</v>
      </c>
      <c r="D38" s="1">
        <v>65536</v>
      </c>
      <c r="E38" s="3">
        <v>57.99</v>
      </c>
      <c r="F38" s="5">
        <v>17243996.93</v>
      </c>
      <c r="G38" s="6">
        <v>0.25800000000000001</v>
      </c>
      <c r="H38" s="1">
        <v>0.04</v>
      </c>
      <c r="I38" s="1" t="s">
        <v>39</v>
      </c>
    </row>
    <row r="39" spans="1:9" x14ac:dyDescent="0.3">
      <c r="A39" s="1" t="s">
        <v>20</v>
      </c>
      <c r="B39" s="1" t="s">
        <v>15</v>
      </c>
      <c r="C39" s="1" t="s">
        <v>17</v>
      </c>
      <c r="D39" s="1">
        <v>65536</v>
      </c>
      <c r="E39" s="3">
        <v>94.38</v>
      </c>
      <c r="F39" s="5">
        <v>10595599.92</v>
      </c>
      <c r="G39" s="6">
        <v>1.2E-2</v>
      </c>
      <c r="H39" s="1">
        <v>7.0000000000000007E-2</v>
      </c>
      <c r="I39" s="1"/>
    </row>
    <row r="40" spans="1:9" x14ac:dyDescent="0.3">
      <c r="A40" s="1" t="s">
        <v>20</v>
      </c>
      <c r="B40" s="1" t="s">
        <v>18</v>
      </c>
      <c r="C40" s="1" t="s">
        <v>16</v>
      </c>
      <c r="D40" s="1">
        <v>65536</v>
      </c>
      <c r="E40" s="3">
        <v>64.17</v>
      </c>
      <c r="F40" s="5">
        <v>15583591.67</v>
      </c>
      <c r="G40" s="6">
        <v>0.23499999999999999</v>
      </c>
      <c r="H40" s="1">
        <v>0.04</v>
      </c>
      <c r="I40" s="1" t="s">
        <v>39</v>
      </c>
    </row>
    <row r="41" spans="1:9" x14ac:dyDescent="0.3">
      <c r="A41" s="1" t="s">
        <v>20</v>
      </c>
      <c r="B41" s="1" t="s">
        <v>18</v>
      </c>
      <c r="C41" s="1" t="s">
        <v>17</v>
      </c>
      <c r="D41" s="1">
        <v>65536</v>
      </c>
      <c r="E41" s="3">
        <v>107.31</v>
      </c>
      <c r="F41" s="5">
        <v>9318801.5199999996</v>
      </c>
      <c r="G41" s="6">
        <v>0.03</v>
      </c>
      <c r="H41" s="1">
        <v>7.0000000000000007E-2</v>
      </c>
      <c r="I41" s="1"/>
    </row>
    <row r="42" spans="1:9" x14ac:dyDescent="0.3">
      <c r="A42" s="1" t="s">
        <v>20</v>
      </c>
      <c r="B42" s="1" t="s">
        <v>19</v>
      </c>
      <c r="C42" s="1" t="s">
        <v>16</v>
      </c>
      <c r="D42" s="1">
        <v>65536</v>
      </c>
      <c r="E42" s="3">
        <v>33.25</v>
      </c>
      <c r="F42" s="5">
        <v>30071655.120000001</v>
      </c>
      <c r="G42" s="6">
        <v>0.04</v>
      </c>
      <c r="H42" s="1">
        <v>0.04</v>
      </c>
      <c r="I42" s="1"/>
    </row>
    <row r="43" spans="1:9" x14ac:dyDescent="0.3">
      <c r="A43" s="1" t="s">
        <v>20</v>
      </c>
      <c r="B43" s="1" t="s">
        <v>19</v>
      </c>
      <c r="C43" s="1" t="s">
        <v>17</v>
      </c>
      <c r="D43" s="1">
        <v>65536</v>
      </c>
      <c r="E43" s="3">
        <v>115.53</v>
      </c>
      <c r="F43" s="5">
        <v>8656132.0600000005</v>
      </c>
      <c r="G43" s="6">
        <v>7.0000000000000001E-3</v>
      </c>
      <c r="H43" s="1">
        <v>0.08</v>
      </c>
      <c r="I43" s="1"/>
    </row>
    <row r="44" spans="1:9" x14ac:dyDescent="0.3">
      <c r="A44" s="1" t="s">
        <v>20</v>
      </c>
      <c r="B44" s="1" t="s">
        <v>15</v>
      </c>
      <c r="C44" s="1" t="s">
        <v>16</v>
      </c>
      <c r="D44" s="1">
        <v>262144</v>
      </c>
      <c r="E44" s="3">
        <v>89.54</v>
      </c>
      <c r="F44" s="5">
        <v>11167965.439999999</v>
      </c>
      <c r="G44" s="6">
        <v>7.0000000000000007E-2</v>
      </c>
      <c r="H44" s="1">
        <v>0.22</v>
      </c>
      <c r="I44" s="1" t="s">
        <v>39</v>
      </c>
    </row>
    <row r="45" spans="1:9" x14ac:dyDescent="0.3">
      <c r="A45" s="1" t="s">
        <v>20</v>
      </c>
      <c r="B45" s="1" t="s">
        <v>15</v>
      </c>
      <c r="C45" s="1" t="s">
        <v>17</v>
      </c>
      <c r="D45" s="1">
        <v>262144</v>
      </c>
      <c r="E45" s="3">
        <v>152.22</v>
      </c>
      <c r="F45" s="5">
        <v>6569364.3399999999</v>
      </c>
      <c r="G45" s="6">
        <v>8.9999999999999993E-3</v>
      </c>
      <c r="H45" s="1">
        <v>0.44</v>
      </c>
      <c r="I45" s="1"/>
    </row>
    <row r="46" spans="1:9" x14ac:dyDescent="0.3">
      <c r="A46" s="1" t="s">
        <v>20</v>
      </c>
      <c r="B46" s="1" t="s">
        <v>18</v>
      </c>
      <c r="C46" s="1" t="s">
        <v>16</v>
      </c>
      <c r="D46" s="1">
        <v>262144</v>
      </c>
      <c r="E46" s="3">
        <v>83.32</v>
      </c>
      <c r="F46" s="5">
        <v>12002325.34</v>
      </c>
      <c r="G46" s="6">
        <v>1.4E-2</v>
      </c>
      <c r="H46" s="1">
        <v>0.23</v>
      </c>
      <c r="I46" s="1"/>
    </row>
    <row r="47" spans="1:9" x14ac:dyDescent="0.3">
      <c r="A47" s="1" t="s">
        <v>20</v>
      </c>
      <c r="B47" s="1" t="s">
        <v>18</v>
      </c>
      <c r="C47" s="1" t="s">
        <v>17</v>
      </c>
      <c r="D47" s="1">
        <v>262144</v>
      </c>
      <c r="E47" s="3">
        <v>195.97</v>
      </c>
      <c r="F47" s="5">
        <v>5102773.16</v>
      </c>
      <c r="G47" s="6">
        <v>4.9000000000000002E-2</v>
      </c>
      <c r="H47" s="1">
        <v>0.56999999999999995</v>
      </c>
      <c r="I47" s="1"/>
    </row>
    <row r="48" spans="1:9" x14ac:dyDescent="0.3">
      <c r="A48" s="1" t="s">
        <v>20</v>
      </c>
      <c r="B48" s="1" t="s">
        <v>19</v>
      </c>
      <c r="C48" s="1" t="s">
        <v>16</v>
      </c>
      <c r="D48" s="1">
        <v>262144</v>
      </c>
      <c r="E48" s="3">
        <v>43.72</v>
      </c>
      <c r="F48" s="5">
        <v>22873966.059999999</v>
      </c>
      <c r="G48" s="6">
        <v>6.3E-2</v>
      </c>
      <c r="H48" s="1">
        <v>0.22</v>
      </c>
      <c r="I48" s="1" t="s">
        <v>39</v>
      </c>
    </row>
    <row r="49" spans="1:9" x14ac:dyDescent="0.3">
      <c r="A49" s="1" t="s">
        <v>20</v>
      </c>
      <c r="B49" s="1" t="s">
        <v>19</v>
      </c>
      <c r="C49" s="1" t="s">
        <v>17</v>
      </c>
      <c r="D49" s="1">
        <v>262144</v>
      </c>
      <c r="E49" s="3">
        <v>188.99</v>
      </c>
      <c r="F49" s="5">
        <v>5291202.6500000004</v>
      </c>
      <c r="G49" s="6">
        <v>0.01</v>
      </c>
      <c r="H49" s="1">
        <v>0.54</v>
      </c>
      <c r="I49" s="1"/>
    </row>
    <row r="50" spans="1:9" x14ac:dyDescent="0.3">
      <c r="A50" s="1" t="s">
        <v>21</v>
      </c>
      <c r="B50" s="1" t="s">
        <v>15</v>
      </c>
      <c r="C50" s="1" t="s">
        <v>16</v>
      </c>
      <c r="D50" s="1">
        <v>4096</v>
      </c>
      <c r="E50" s="3">
        <v>17.14</v>
      </c>
      <c r="F50" s="5">
        <v>58345916.07</v>
      </c>
      <c r="G50" s="6">
        <v>1.2E-2</v>
      </c>
      <c r="H50" s="1">
        <v>0</v>
      </c>
      <c r="I50" s="1"/>
    </row>
    <row r="51" spans="1:9" x14ac:dyDescent="0.3">
      <c r="A51" s="1" t="s">
        <v>21</v>
      </c>
      <c r="B51" s="1" t="s">
        <v>15</v>
      </c>
      <c r="C51" s="1" t="s">
        <v>17</v>
      </c>
      <c r="D51" s="1">
        <v>4096</v>
      </c>
      <c r="E51" s="3">
        <v>58.52</v>
      </c>
      <c r="F51" s="5">
        <v>17087955.41</v>
      </c>
      <c r="G51" s="6">
        <v>1.6E-2</v>
      </c>
      <c r="H51" s="1">
        <v>0</v>
      </c>
      <c r="I51" s="1"/>
    </row>
    <row r="52" spans="1:9" x14ac:dyDescent="0.3">
      <c r="A52" s="1" t="s">
        <v>21</v>
      </c>
      <c r="B52" s="1" t="s">
        <v>18</v>
      </c>
      <c r="C52" s="1" t="s">
        <v>16</v>
      </c>
      <c r="D52" s="1">
        <v>4096</v>
      </c>
      <c r="E52" s="3">
        <v>14.8</v>
      </c>
      <c r="F52" s="5">
        <v>67575147.659999996</v>
      </c>
      <c r="G52" s="6">
        <v>3.4000000000000002E-2</v>
      </c>
      <c r="H52" s="1">
        <v>0</v>
      </c>
      <c r="I52" s="1"/>
    </row>
    <row r="53" spans="1:9" x14ac:dyDescent="0.3">
      <c r="A53" s="1" t="s">
        <v>21</v>
      </c>
      <c r="B53" s="1" t="s">
        <v>18</v>
      </c>
      <c r="C53" s="1" t="s">
        <v>17</v>
      </c>
      <c r="D53" s="1">
        <v>4096</v>
      </c>
      <c r="E53" s="3">
        <v>37.46</v>
      </c>
      <c r="F53" s="5">
        <v>26693429.609999999</v>
      </c>
      <c r="G53" s="6">
        <v>4.4999999999999998E-2</v>
      </c>
      <c r="H53" s="1">
        <v>0</v>
      </c>
      <c r="I53" s="1"/>
    </row>
    <row r="54" spans="1:9" x14ac:dyDescent="0.3">
      <c r="A54" s="1" t="s">
        <v>21</v>
      </c>
      <c r="B54" s="1" t="s">
        <v>19</v>
      </c>
      <c r="C54" s="1" t="s">
        <v>16</v>
      </c>
      <c r="D54" s="1">
        <v>4096</v>
      </c>
      <c r="E54" s="3">
        <v>18.940000000000001</v>
      </c>
      <c r="F54" s="5">
        <v>52803238.32</v>
      </c>
      <c r="G54" s="6">
        <v>5.8999999999999997E-2</v>
      </c>
      <c r="H54" s="1">
        <v>0</v>
      </c>
      <c r="I54" s="1" t="s">
        <v>39</v>
      </c>
    </row>
    <row r="55" spans="1:9" x14ac:dyDescent="0.3">
      <c r="A55" s="1" t="s">
        <v>21</v>
      </c>
      <c r="B55" s="1" t="s">
        <v>19</v>
      </c>
      <c r="C55" s="1" t="s">
        <v>17</v>
      </c>
      <c r="D55" s="1">
        <v>4096</v>
      </c>
      <c r="E55" s="3">
        <v>63.03</v>
      </c>
      <c r="F55" s="5">
        <v>15865392.060000001</v>
      </c>
      <c r="G55" s="6">
        <v>0.02</v>
      </c>
      <c r="H55" s="1">
        <v>0</v>
      </c>
      <c r="I55" s="1"/>
    </row>
    <row r="56" spans="1:9" x14ac:dyDescent="0.3">
      <c r="A56" s="1" t="s">
        <v>21</v>
      </c>
      <c r="B56" s="1" t="s">
        <v>15</v>
      </c>
      <c r="C56" s="1" t="s">
        <v>16</v>
      </c>
      <c r="D56" s="1">
        <v>16384</v>
      </c>
      <c r="E56" s="3">
        <v>18.27</v>
      </c>
      <c r="F56" s="5">
        <v>54730822.159999996</v>
      </c>
      <c r="G56" s="6">
        <v>3.7999999999999999E-2</v>
      </c>
      <c r="H56" s="1">
        <v>0</v>
      </c>
      <c r="I56" s="1"/>
    </row>
    <row r="57" spans="1:9" x14ac:dyDescent="0.3">
      <c r="A57" s="1" t="s">
        <v>21</v>
      </c>
      <c r="B57" s="1" t="s">
        <v>15</v>
      </c>
      <c r="C57" s="1" t="s">
        <v>17</v>
      </c>
      <c r="D57" s="1">
        <v>16384</v>
      </c>
      <c r="E57" s="3">
        <v>82.23</v>
      </c>
      <c r="F57" s="5">
        <v>12161384.779999999</v>
      </c>
      <c r="G57" s="6">
        <v>1.9E-2</v>
      </c>
      <c r="H57" s="1">
        <v>0.01</v>
      </c>
      <c r="I57" s="1"/>
    </row>
    <row r="58" spans="1:9" x14ac:dyDescent="0.3">
      <c r="A58" s="1" t="s">
        <v>21</v>
      </c>
      <c r="B58" s="1" t="s">
        <v>18</v>
      </c>
      <c r="C58" s="1" t="s">
        <v>16</v>
      </c>
      <c r="D58" s="1">
        <v>16384</v>
      </c>
      <c r="E58" s="3">
        <v>17.18</v>
      </c>
      <c r="F58" s="5">
        <v>58216135.93</v>
      </c>
      <c r="G58" s="6">
        <v>6.8000000000000005E-2</v>
      </c>
      <c r="H58" s="1">
        <v>0</v>
      </c>
      <c r="I58" s="1" t="s">
        <v>39</v>
      </c>
    </row>
    <row r="59" spans="1:9" x14ac:dyDescent="0.3">
      <c r="A59" s="1" t="s">
        <v>21</v>
      </c>
      <c r="B59" s="1" t="s">
        <v>18</v>
      </c>
      <c r="C59" s="1" t="s">
        <v>17</v>
      </c>
      <c r="D59" s="1">
        <v>16384</v>
      </c>
      <c r="E59" s="3">
        <v>54.03</v>
      </c>
      <c r="F59" s="5">
        <v>18506804.5</v>
      </c>
      <c r="G59" s="6">
        <v>1.4999999999999999E-2</v>
      </c>
      <c r="H59" s="1">
        <v>0.01</v>
      </c>
      <c r="I59" s="1"/>
    </row>
    <row r="60" spans="1:9" x14ac:dyDescent="0.3">
      <c r="A60" s="1" t="s">
        <v>21</v>
      </c>
      <c r="B60" s="1" t="s">
        <v>19</v>
      </c>
      <c r="C60" s="1" t="s">
        <v>16</v>
      </c>
      <c r="D60" s="1">
        <v>16384</v>
      </c>
      <c r="E60" s="3">
        <v>23.32</v>
      </c>
      <c r="F60" s="5">
        <v>42873553.890000001</v>
      </c>
      <c r="G60" s="6">
        <v>3.7999999999999999E-2</v>
      </c>
      <c r="H60" s="1">
        <v>0</v>
      </c>
      <c r="I60" s="1"/>
    </row>
    <row r="61" spans="1:9" x14ac:dyDescent="0.3">
      <c r="A61" s="1" t="s">
        <v>21</v>
      </c>
      <c r="B61" s="1" t="s">
        <v>19</v>
      </c>
      <c r="C61" s="1" t="s">
        <v>17</v>
      </c>
      <c r="D61" s="1">
        <v>16384</v>
      </c>
      <c r="E61" s="3">
        <v>81.209999999999994</v>
      </c>
      <c r="F61" s="5">
        <v>12313760.390000001</v>
      </c>
      <c r="G61" s="6">
        <v>0.01</v>
      </c>
      <c r="H61" s="1">
        <v>0.01</v>
      </c>
      <c r="I61" s="1"/>
    </row>
    <row r="62" spans="1:9" x14ac:dyDescent="0.3">
      <c r="A62" s="1" t="s">
        <v>21</v>
      </c>
      <c r="B62" s="1" t="s">
        <v>15</v>
      </c>
      <c r="C62" s="1" t="s">
        <v>16</v>
      </c>
      <c r="D62" s="1">
        <v>65536</v>
      </c>
      <c r="E62" s="3">
        <v>19.62</v>
      </c>
      <c r="F62" s="5">
        <v>50972574.710000001</v>
      </c>
      <c r="G62" s="6">
        <v>4.4999999999999998E-2</v>
      </c>
      <c r="H62" s="1">
        <v>0.01</v>
      </c>
      <c r="I62" s="1"/>
    </row>
    <row r="63" spans="1:9" x14ac:dyDescent="0.3">
      <c r="A63" s="1" t="s">
        <v>21</v>
      </c>
      <c r="B63" s="1" t="s">
        <v>15</v>
      </c>
      <c r="C63" s="1" t="s">
        <v>17</v>
      </c>
      <c r="D63" s="1">
        <v>65536</v>
      </c>
      <c r="E63" s="3">
        <v>122.44</v>
      </c>
      <c r="F63" s="5">
        <v>8167477.1500000004</v>
      </c>
      <c r="G63" s="6">
        <v>5.0000000000000001E-3</v>
      </c>
      <c r="H63" s="1">
        <v>0.09</v>
      </c>
      <c r="I63" s="1"/>
    </row>
    <row r="64" spans="1:9" x14ac:dyDescent="0.3">
      <c r="A64" s="1" t="s">
        <v>21</v>
      </c>
      <c r="B64" s="1" t="s">
        <v>18</v>
      </c>
      <c r="C64" s="1" t="s">
        <v>16</v>
      </c>
      <c r="D64" s="1">
        <v>65536</v>
      </c>
      <c r="E64" s="3">
        <v>35.020000000000003</v>
      </c>
      <c r="F64" s="5">
        <v>28552905.829999998</v>
      </c>
      <c r="G64" s="6">
        <v>1.6E-2</v>
      </c>
      <c r="H64" s="1">
        <v>0.03</v>
      </c>
      <c r="I64" s="1"/>
    </row>
    <row r="65" spans="1:9" x14ac:dyDescent="0.3">
      <c r="A65" s="1" t="s">
        <v>21</v>
      </c>
      <c r="B65" s="1" t="s">
        <v>18</v>
      </c>
      <c r="C65" s="1" t="s">
        <v>17</v>
      </c>
      <c r="D65" s="1">
        <v>65536</v>
      </c>
      <c r="E65" s="3">
        <v>96.41</v>
      </c>
      <c r="F65" s="5">
        <v>10372658.189999999</v>
      </c>
      <c r="G65" s="6">
        <v>2.1999999999999999E-2</v>
      </c>
      <c r="H65" s="1">
        <v>7.0000000000000007E-2</v>
      </c>
      <c r="I65" s="1"/>
    </row>
    <row r="66" spans="1:9" x14ac:dyDescent="0.3">
      <c r="A66" s="1" t="s">
        <v>21</v>
      </c>
      <c r="B66" s="1" t="s">
        <v>19</v>
      </c>
      <c r="C66" s="1" t="s">
        <v>16</v>
      </c>
      <c r="D66" s="1">
        <v>65536</v>
      </c>
      <c r="E66" s="3">
        <v>26.82</v>
      </c>
      <c r="F66" s="5">
        <v>37291750.359999999</v>
      </c>
      <c r="G66" s="6">
        <v>3.9E-2</v>
      </c>
      <c r="H66" s="1">
        <v>0.02</v>
      </c>
      <c r="I66" s="1"/>
    </row>
    <row r="67" spans="1:9" x14ac:dyDescent="0.3">
      <c r="A67" s="1" t="s">
        <v>21</v>
      </c>
      <c r="B67" s="1" t="s">
        <v>19</v>
      </c>
      <c r="C67" s="1" t="s">
        <v>17</v>
      </c>
      <c r="D67" s="1">
        <v>65536</v>
      </c>
      <c r="E67" s="3">
        <v>124.85</v>
      </c>
      <c r="F67" s="5">
        <v>8009772.6699999999</v>
      </c>
      <c r="G67" s="6">
        <v>8.0000000000000002E-3</v>
      </c>
      <c r="H67" s="1">
        <v>0.09</v>
      </c>
      <c r="I67" s="1"/>
    </row>
    <row r="68" spans="1:9" x14ac:dyDescent="0.3">
      <c r="A68" s="1" t="s">
        <v>21</v>
      </c>
      <c r="B68" s="1" t="s">
        <v>15</v>
      </c>
      <c r="C68" s="1" t="s">
        <v>16</v>
      </c>
      <c r="D68" s="1">
        <v>262144</v>
      </c>
      <c r="E68" s="3">
        <v>26.68</v>
      </c>
      <c r="F68" s="5">
        <v>37476318.539999999</v>
      </c>
      <c r="G68" s="6">
        <v>0.10199999999999999</v>
      </c>
      <c r="H68" s="1">
        <v>7.0000000000000007E-2</v>
      </c>
      <c r="I68" s="1" t="s">
        <v>39</v>
      </c>
    </row>
    <row r="69" spans="1:9" x14ac:dyDescent="0.3">
      <c r="A69" s="1" t="s">
        <v>21</v>
      </c>
      <c r="B69" s="1" t="s">
        <v>15</v>
      </c>
      <c r="C69" s="1" t="s">
        <v>17</v>
      </c>
      <c r="D69" s="1">
        <v>262144</v>
      </c>
      <c r="E69" s="3">
        <v>205.2</v>
      </c>
      <c r="F69" s="5">
        <v>4873264.34</v>
      </c>
      <c r="G69" s="6">
        <v>1.9E-2</v>
      </c>
      <c r="H69" s="1">
        <v>0.59</v>
      </c>
      <c r="I69" s="1"/>
    </row>
    <row r="70" spans="1:9" x14ac:dyDescent="0.3">
      <c r="A70" s="1" t="s">
        <v>21</v>
      </c>
      <c r="B70" s="1" t="s">
        <v>18</v>
      </c>
      <c r="C70" s="1" t="s">
        <v>16</v>
      </c>
      <c r="D70" s="1">
        <v>262144</v>
      </c>
      <c r="E70" s="3">
        <v>39.86</v>
      </c>
      <c r="F70" s="5">
        <v>25087727.710000001</v>
      </c>
      <c r="G70" s="6">
        <v>5.6000000000000001E-2</v>
      </c>
      <c r="H70" s="1">
        <v>0.12</v>
      </c>
      <c r="I70" s="1" t="s">
        <v>39</v>
      </c>
    </row>
    <row r="71" spans="1:9" x14ac:dyDescent="0.3">
      <c r="A71" s="1" t="s">
        <v>21</v>
      </c>
      <c r="B71" s="1" t="s">
        <v>18</v>
      </c>
      <c r="C71" s="1" t="s">
        <v>17</v>
      </c>
      <c r="D71" s="1">
        <v>262144</v>
      </c>
      <c r="E71" s="3">
        <v>180.68</v>
      </c>
      <c r="F71" s="5">
        <v>5534634.6100000003</v>
      </c>
      <c r="G71" s="6">
        <v>5.6000000000000001E-2</v>
      </c>
      <c r="H71" s="1">
        <v>0.52</v>
      </c>
      <c r="I71" s="1" t="s">
        <v>39</v>
      </c>
    </row>
    <row r="72" spans="1:9" x14ac:dyDescent="0.3">
      <c r="A72" s="1" t="s">
        <v>21</v>
      </c>
      <c r="B72" s="1" t="s">
        <v>19</v>
      </c>
      <c r="C72" s="1" t="s">
        <v>16</v>
      </c>
      <c r="D72" s="1">
        <v>262144</v>
      </c>
      <c r="E72" s="3">
        <v>31.4</v>
      </c>
      <c r="F72" s="5">
        <v>31845391.25</v>
      </c>
      <c r="G72" s="6">
        <v>3.2000000000000001E-2</v>
      </c>
      <c r="H72" s="1">
        <v>0.09</v>
      </c>
      <c r="I72" s="1"/>
    </row>
    <row r="73" spans="1:9" x14ac:dyDescent="0.3">
      <c r="A73" s="1" t="s">
        <v>21</v>
      </c>
      <c r="B73" s="1" t="s">
        <v>19</v>
      </c>
      <c r="C73" s="1" t="s">
        <v>17</v>
      </c>
      <c r="D73" s="1">
        <v>262144</v>
      </c>
      <c r="E73" s="3">
        <v>214.23</v>
      </c>
      <c r="F73" s="5">
        <v>4667908.34</v>
      </c>
      <c r="G73" s="6">
        <v>4.0000000000000001E-3</v>
      </c>
      <c r="H73" s="1">
        <v>0.61</v>
      </c>
      <c r="I7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3"/>
  <sheetViews>
    <sheetView zoomScaleNormal="100" workbookViewId="0">
      <pane ySplit="1" topLeftCell="A41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8" customWidth="1"/>
    <col min="4" max="4" width="9" customWidth="1"/>
    <col min="5" max="5" width="10" customWidth="1"/>
    <col min="6" max="6" width="14" customWidth="1"/>
    <col min="7" max="7" width="8" customWidth="1"/>
    <col min="8" max="9" width="10" customWidth="1"/>
  </cols>
  <sheetData>
    <row r="1" spans="1:9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spans="1:9" x14ac:dyDescent="0.3">
      <c r="A2" s="1" t="s">
        <v>14</v>
      </c>
      <c r="B2" s="1" t="s">
        <v>15</v>
      </c>
      <c r="C2" s="1" t="s">
        <v>16</v>
      </c>
      <c r="D2" s="1">
        <v>4096</v>
      </c>
      <c r="E2" s="3">
        <v>48.92</v>
      </c>
      <c r="F2" s="5">
        <v>20441469.739999998</v>
      </c>
      <c r="G2" s="6">
        <v>7.0000000000000001E-3</v>
      </c>
      <c r="H2" s="1">
        <v>0.12</v>
      </c>
      <c r="I2" s="1"/>
    </row>
    <row r="3" spans="1:9" x14ac:dyDescent="0.3">
      <c r="A3" s="1" t="s">
        <v>14</v>
      </c>
      <c r="B3" s="1" t="s">
        <v>15</v>
      </c>
      <c r="C3" s="1" t="s">
        <v>17</v>
      </c>
      <c r="D3" s="1">
        <v>4096</v>
      </c>
      <c r="E3" s="3">
        <v>40.98</v>
      </c>
      <c r="F3" s="5">
        <v>24401519.48</v>
      </c>
      <c r="G3" s="6">
        <v>3.0000000000000001E-3</v>
      </c>
      <c r="H3" s="1">
        <v>0.1</v>
      </c>
      <c r="I3" s="1"/>
    </row>
    <row r="4" spans="1:9" x14ac:dyDescent="0.3">
      <c r="A4" s="1" t="s">
        <v>14</v>
      </c>
      <c r="B4" s="1" t="s">
        <v>18</v>
      </c>
      <c r="C4" s="1" t="s">
        <v>16</v>
      </c>
      <c r="D4" s="1">
        <v>4096</v>
      </c>
      <c r="E4" s="3">
        <v>14.61</v>
      </c>
      <c r="F4" s="5">
        <v>68452319.599999994</v>
      </c>
      <c r="G4" s="6">
        <v>0.11600000000000001</v>
      </c>
      <c r="H4" s="1">
        <v>0.04</v>
      </c>
      <c r="I4" s="1" t="s">
        <v>39</v>
      </c>
    </row>
    <row r="5" spans="1:9" x14ac:dyDescent="0.3">
      <c r="A5" s="1" t="s">
        <v>14</v>
      </c>
      <c r="B5" s="1" t="s">
        <v>18</v>
      </c>
      <c r="C5" s="1" t="s">
        <v>17</v>
      </c>
      <c r="D5" s="1">
        <v>4096</v>
      </c>
      <c r="E5" s="3">
        <v>11.47</v>
      </c>
      <c r="F5" s="5">
        <v>87160268.5</v>
      </c>
      <c r="G5" s="6">
        <v>5.0000000000000001E-3</v>
      </c>
      <c r="H5" s="1">
        <v>0.03</v>
      </c>
      <c r="I5" s="1"/>
    </row>
    <row r="6" spans="1:9" x14ac:dyDescent="0.3">
      <c r="A6" s="1" t="s">
        <v>14</v>
      </c>
      <c r="B6" s="1" t="s">
        <v>19</v>
      </c>
      <c r="C6" s="1" t="s">
        <v>16</v>
      </c>
      <c r="D6" s="1">
        <v>4096</v>
      </c>
      <c r="E6" s="3">
        <v>9.36</v>
      </c>
      <c r="F6" s="5">
        <v>106781230.39</v>
      </c>
      <c r="G6" s="6">
        <v>0.02</v>
      </c>
      <c r="H6" s="1">
        <v>0.02</v>
      </c>
      <c r="I6" s="1"/>
    </row>
    <row r="7" spans="1:9" x14ac:dyDescent="0.3">
      <c r="A7" s="1" t="s">
        <v>14</v>
      </c>
      <c r="B7" s="1" t="s">
        <v>19</v>
      </c>
      <c r="C7" s="1" t="s">
        <v>17</v>
      </c>
      <c r="D7" s="1">
        <v>4096</v>
      </c>
      <c r="E7" s="3">
        <v>11.76</v>
      </c>
      <c r="F7" s="5">
        <v>85038649.569999993</v>
      </c>
      <c r="G7" s="6">
        <v>2.9000000000000001E-2</v>
      </c>
      <c r="H7" s="1">
        <v>0.03</v>
      </c>
      <c r="I7" s="1"/>
    </row>
    <row r="8" spans="1:9" x14ac:dyDescent="0.3">
      <c r="A8" s="1" t="s">
        <v>14</v>
      </c>
      <c r="B8" s="1" t="s">
        <v>15</v>
      </c>
      <c r="C8" s="1" t="s">
        <v>16</v>
      </c>
      <c r="D8" s="1">
        <v>16384</v>
      </c>
      <c r="E8" s="3">
        <v>66.790000000000006</v>
      </c>
      <c r="F8" s="5">
        <v>14972129.09</v>
      </c>
      <c r="G8" s="6">
        <v>5.0000000000000001E-3</v>
      </c>
      <c r="H8" s="1">
        <v>0.15</v>
      </c>
      <c r="I8" s="1"/>
    </row>
    <row r="9" spans="1:9" x14ac:dyDescent="0.3">
      <c r="A9" s="1" t="s">
        <v>14</v>
      </c>
      <c r="B9" s="1" t="s">
        <v>15</v>
      </c>
      <c r="C9" s="1" t="s">
        <v>17</v>
      </c>
      <c r="D9" s="1">
        <v>16384</v>
      </c>
      <c r="E9" s="3">
        <v>59.66</v>
      </c>
      <c r="F9" s="5">
        <v>16761626.51</v>
      </c>
      <c r="G9" s="6">
        <v>5.0000000000000001E-3</v>
      </c>
      <c r="H9" s="1">
        <v>0.15</v>
      </c>
      <c r="I9" s="1"/>
    </row>
    <row r="10" spans="1:9" x14ac:dyDescent="0.3">
      <c r="A10" s="1" t="s">
        <v>14</v>
      </c>
      <c r="B10" s="1" t="s">
        <v>18</v>
      </c>
      <c r="C10" s="1" t="s">
        <v>16</v>
      </c>
      <c r="D10" s="1">
        <v>16384</v>
      </c>
      <c r="E10" s="3">
        <v>26.8</v>
      </c>
      <c r="F10" s="5">
        <v>37318742.659999996</v>
      </c>
      <c r="G10" s="6">
        <v>1E-3</v>
      </c>
      <c r="H10" s="1">
        <v>7.0000000000000007E-2</v>
      </c>
      <c r="I10" s="1"/>
    </row>
    <row r="11" spans="1:9" x14ac:dyDescent="0.3">
      <c r="A11" s="1" t="s">
        <v>14</v>
      </c>
      <c r="B11" s="1" t="s">
        <v>18</v>
      </c>
      <c r="C11" s="1" t="s">
        <v>17</v>
      </c>
      <c r="D11" s="1">
        <v>16384</v>
      </c>
      <c r="E11" s="3">
        <v>24.14</v>
      </c>
      <c r="F11" s="5">
        <v>41431782.009999998</v>
      </c>
      <c r="G11" s="6">
        <v>1E-3</v>
      </c>
      <c r="H11" s="1">
        <v>0.06</v>
      </c>
      <c r="I11" s="1"/>
    </row>
    <row r="12" spans="1:9" x14ac:dyDescent="0.3">
      <c r="A12" s="1" t="s">
        <v>14</v>
      </c>
      <c r="B12" s="1" t="s">
        <v>19</v>
      </c>
      <c r="C12" s="1" t="s">
        <v>16</v>
      </c>
      <c r="D12" s="1">
        <v>16384</v>
      </c>
      <c r="E12" s="3">
        <v>18.18</v>
      </c>
      <c r="F12" s="5">
        <v>54995278.43</v>
      </c>
      <c r="G12" s="6">
        <v>3.0000000000000001E-3</v>
      </c>
      <c r="H12" s="1">
        <v>0.04</v>
      </c>
      <c r="I12" s="1"/>
    </row>
    <row r="13" spans="1:9" x14ac:dyDescent="0.3">
      <c r="A13" s="1" t="s">
        <v>14</v>
      </c>
      <c r="B13" s="1" t="s">
        <v>19</v>
      </c>
      <c r="C13" s="1" t="s">
        <v>17</v>
      </c>
      <c r="D13" s="1">
        <v>16384</v>
      </c>
      <c r="E13" s="3">
        <v>21.54</v>
      </c>
      <c r="F13" s="5">
        <v>46433523.130000003</v>
      </c>
      <c r="G13" s="6">
        <v>6.0000000000000001E-3</v>
      </c>
      <c r="H13" s="1">
        <v>0.05</v>
      </c>
      <c r="I13" s="1"/>
    </row>
    <row r="14" spans="1:9" x14ac:dyDescent="0.3">
      <c r="A14" s="1" t="s">
        <v>14</v>
      </c>
      <c r="B14" s="1" t="s">
        <v>15</v>
      </c>
      <c r="C14" s="1" t="s">
        <v>16</v>
      </c>
      <c r="D14" s="1">
        <v>65536</v>
      </c>
      <c r="E14" s="3">
        <v>102.49</v>
      </c>
      <c r="F14" s="5">
        <v>9756798.4399999995</v>
      </c>
      <c r="G14" s="6">
        <v>2.5000000000000001E-2</v>
      </c>
      <c r="H14" s="1">
        <v>0.25</v>
      </c>
      <c r="I14" s="1"/>
    </row>
    <row r="15" spans="1:9" x14ac:dyDescent="0.3">
      <c r="A15" s="1" t="s">
        <v>14</v>
      </c>
      <c r="B15" s="1" t="s">
        <v>15</v>
      </c>
      <c r="C15" s="1" t="s">
        <v>17</v>
      </c>
      <c r="D15" s="1">
        <v>65536</v>
      </c>
      <c r="E15" s="3">
        <v>95.91</v>
      </c>
      <c r="F15" s="5">
        <v>10425970.619999999</v>
      </c>
      <c r="G15" s="6">
        <v>6.0000000000000001E-3</v>
      </c>
      <c r="H15" s="1">
        <v>0.23</v>
      </c>
      <c r="I15" s="1"/>
    </row>
    <row r="16" spans="1:9" x14ac:dyDescent="0.3">
      <c r="A16" s="1" t="s">
        <v>14</v>
      </c>
      <c r="B16" s="1" t="s">
        <v>18</v>
      </c>
      <c r="C16" s="1" t="s">
        <v>16</v>
      </c>
      <c r="D16" s="1">
        <v>65536</v>
      </c>
      <c r="E16" s="3">
        <v>41.04</v>
      </c>
      <c r="F16" s="5">
        <v>24369301.760000002</v>
      </c>
      <c r="G16" s="6">
        <v>4.0000000000000001E-3</v>
      </c>
      <c r="H16" s="1">
        <v>0.1</v>
      </c>
      <c r="I16" s="1"/>
    </row>
    <row r="17" spans="1:9" x14ac:dyDescent="0.3">
      <c r="A17" s="1" t="s">
        <v>14</v>
      </c>
      <c r="B17" s="1" t="s">
        <v>18</v>
      </c>
      <c r="C17" s="1" t="s">
        <v>17</v>
      </c>
      <c r="D17" s="1">
        <v>65536</v>
      </c>
      <c r="E17" s="3">
        <v>36.770000000000003</v>
      </c>
      <c r="F17" s="5">
        <v>27195989.789999999</v>
      </c>
      <c r="G17" s="6">
        <v>4.0000000000000001E-3</v>
      </c>
      <c r="H17" s="1">
        <v>0.09</v>
      </c>
      <c r="I17" s="1"/>
    </row>
    <row r="18" spans="1:9" x14ac:dyDescent="0.3">
      <c r="A18" s="1" t="s">
        <v>14</v>
      </c>
      <c r="B18" s="1" t="s">
        <v>19</v>
      </c>
      <c r="C18" s="1" t="s">
        <v>16</v>
      </c>
      <c r="D18" s="1">
        <v>65536</v>
      </c>
      <c r="E18" s="3">
        <v>26.75</v>
      </c>
      <c r="F18" s="5">
        <v>37386396.759999998</v>
      </c>
      <c r="G18" s="6">
        <v>0.01</v>
      </c>
      <c r="H18" s="1">
        <v>7.0000000000000007E-2</v>
      </c>
      <c r="I18" s="1"/>
    </row>
    <row r="19" spans="1:9" x14ac:dyDescent="0.3">
      <c r="A19" s="1" t="s">
        <v>14</v>
      </c>
      <c r="B19" s="1" t="s">
        <v>19</v>
      </c>
      <c r="C19" s="1" t="s">
        <v>17</v>
      </c>
      <c r="D19" s="1">
        <v>65536</v>
      </c>
      <c r="E19" s="3">
        <v>29.91</v>
      </c>
      <c r="F19" s="5">
        <v>33433830.140000001</v>
      </c>
      <c r="G19" s="6">
        <v>6.0000000000000001E-3</v>
      </c>
      <c r="H19" s="1">
        <v>7.0000000000000007E-2</v>
      </c>
      <c r="I19" s="1"/>
    </row>
    <row r="20" spans="1:9" x14ac:dyDescent="0.3">
      <c r="A20" s="1" t="s">
        <v>14</v>
      </c>
      <c r="B20" s="1" t="s">
        <v>15</v>
      </c>
      <c r="C20" s="1" t="s">
        <v>16</v>
      </c>
      <c r="D20" s="1">
        <v>262144</v>
      </c>
      <c r="E20" s="3">
        <v>190.56</v>
      </c>
      <c r="F20" s="5">
        <v>5247597.01</v>
      </c>
      <c r="G20" s="6">
        <v>4.1000000000000002E-2</v>
      </c>
      <c r="H20" s="1">
        <v>0.45</v>
      </c>
      <c r="I20" s="1"/>
    </row>
    <row r="21" spans="1:9" x14ac:dyDescent="0.3">
      <c r="A21" s="1" t="s">
        <v>14</v>
      </c>
      <c r="B21" s="1" t="s">
        <v>15</v>
      </c>
      <c r="C21" s="1" t="s">
        <v>17</v>
      </c>
      <c r="D21" s="1">
        <v>262144</v>
      </c>
      <c r="E21" s="3">
        <v>180.33</v>
      </c>
      <c r="F21" s="5">
        <v>5545294.21</v>
      </c>
      <c r="G21" s="6">
        <v>5.0999999999999997E-2</v>
      </c>
      <c r="H21" s="1">
        <v>0.44</v>
      </c>
      <c r="I21" s="1" t="s">
        <v>39</v>
      </c>
    </row>
    <row r="22" spans="1:9" x14ac:dyDescent="0.3">
      <c r="A22" s="1" t="s">
        <v>14</v>
      </c>
      <c r="B22" s="1" t="s">
        <v>18</v>
      </c>
      <c r="C22" s="1" t="s">
        <v>16</v>
      </c>
      <c r="D22" s="1">
        <v>262144</v>
      </c>
      <c r="E22" s="3">
        <v>81.040000000000006</v>
      </c>
      <c r="F22" s="5">
        <v>12339215.810000001</v>
      </c>
      <c r="G22" s="6">
        <v>2.7E-2</v>
      </c>
      <c r="H22" s="1">
        <v>0.2</v>
      </c>
      <c r="I22" s="1"/>
    </row>
    <row r="23" spans="1:9" x14ac:dyDescent="0.3">
      <c r="A23" s="1" t="s">
        <v>14</v>
      </c>
      <c r="B23" s="1" t="s">
        <v>18</v>
      </c>
      <c r="C23" s="1" t="s">
        <v>17</v>
      </c>
      <c r="D23" s="1">
        <v>262144</v>
      </c>
      <c r="E23" s="3">
        <v>74.069999999999993</v>
      </c>
      <c r="F23" s="5">
        <v>13499850.810000001</v>
      </c>
      <c r="G23" s="6">
        <v>1.2E-2</v>
      </c>
      <c r="H23" s="1">
        <v>0.18</v>
      </c>
      <c r="I23" s="1"/>
    </row>
    <row r="24" spans="1:9" x14ac:dyDescent="0.3">
      <c r="A24" s="1" t="s">
        <v>14</v>
      </c>
      <c r="B24" s="1" t="s">
        <v>19</v>
      </c>
      <c r="C24" s="1" t="s">
        <v>16</v>
      </c>
      <c r="D24" s="1">
        <v>262144</v>
      </c>
      <c r="E24" s="3">
        <v>49.86</v>
      </c>
      <c r="F24" s="5">
        <v>20054311.57</v>
      </c>
      <c r="G24" s="6">
        <v>1.6E-2</v>
      </c>
      <c r="H24" s="1">
        <v>0.12</v>
      </c>
      <c r="I24" s="1"/>
    </row>
    <row r="25" spans="1:9" x14ac:dyDescent="0.3">
      <c r="A25" s="1" t="s">
        <v>14</v>
      </c>
      <c r="B25" s="1" t="s">
        <v>19</v>
      </c>
      <c r="C25" s="1" t="s">
        <v>17</v>
      </c>
      <c r="D25" s="1">
        <v>262144</v>
      </c>
      <c r="E25" s="3">
        <v>52.38</v>
      </c>
      <c r="F25" s="5">
        <v>19089784.079999998</v>
      </c>
      <c r="G25" s="6">
        <v>2E-3</v>
      </c>
      <c r="H25" s="1">
        <v>0.13</v>
      </c>
      <c r="I25" s="1"/>
    </row>
    <row r="26" spans="1:9" x14ac:dyDescent="0.3">
      <c r="A26" s="1" t="s">
        <v>20</v>
      </c>
      <c r="B26" s="1" t="s">
        <v>15</v>
      </c>
      <c r="C26" s="1" t="s">
        <v>16</v>
      </c>
      <c r="D26" s="1">
        <v>4096</v>
      </c>
      <c r="E26" s="3">
        <v>19.57</v>
      </c>
      <c r="F26" s="5">
        <v>51107367.899999999</v>
      </c>
      <c r="G26" s="6">
        <v>4.8000000000000001E-2</v>
      </c>
      <c r="H26" s="1">
        <v>0</v>
      </c>
      <c r="I26" s="1"/>
    </row>
    <row r="27" spans="1:9" x14ac:dyDescent="0.3">
      <c r="A27" s="1" t="s">
        <v>20</v>
      </c>
      <c r="B27" s="1" t="s">
        <v>15</v>
      </c>
      <c r="C27" s="1" t="s">
        <v>17</v>
      </c>
      <c r="D27" s="1">
        <v>4096</v>
      </c>
      <c r="E27" s="3">
        <v>55.27</v>
      </c>
      <c r="F27" s="5">
        <v>18094510.239999998</v>
      </c>
      <c r="G27" s="6">
        <v>2.5000000000000001E-2</v>
      </c>
      <c r="H27" s="1">
        <v>0</v>
      </c>
      <c r="I27" s="1"/>
    </row>
    <row r="28" spans="1:9" x14ac:dyDescent="0.3">
      <c r="A28" s="1" t="s">
        <v>20</v>
      </c>
      <c r="B28" s="1" t="s">
        <v>18</v>
      </c>
      <c r="C28" s="1" t="s">
        <v>16</v>
      </c>
      <c r="D28" s="1">
        <v>4096</v>
      </c>
      <c r="E28" s="3">
        <v>22.81</v>
      </c>
      <c r="F28" s="5">
        <v>43838900.600000001</v>
      </c>
      <c r="G28" s="6">
        <v>1.4E-2</v>
      </c>
      <c r="H28" s="1">
        <v>0</v>
      </c>
      <c r="I28" s="1"/>
    </row>
    <row r="29" spans="1:9" x14ac:dyDescent="0.3">
      <c r="A29" s="1" t="s">
        <v>20</v>
      </c>
      <c r="B29" s="1" t="s">
        <v>18</v>
      </c>
      <c r="C29" s="1" t="s">
        <v>17</v>
      </c>
      <c r="D29" s="1">
        <v>4096</v>
      </c>
      <c r="E29" s="3">
        <v>37.58</v>
      </c>
      <c r="F29" s="5">
        <v>26607942.109999999</v>
      </c>
      <c r="G29" s="6">
        <v>1.6E-2</v>
      </c>
      <c r="H29" s="1">
        <v>0</v>
      </c>
      <c r="I29" s="1"/>
    </row>
    <row r="30" spans="1:9" x14ac:dyDescent="0.3">
      <c r="A30" s="1" t="s">
        <v>20</v>
      </c>
      <c r="B30" s="1" t="s">
        <v>19</v>
      </c>
      <c r="C30" s="1" t="s">
        <v>16</v>
      </c>
      <c r="D30" s="1">
        <v>4096</v>
      </c>
      <c r="E30" s="3">
        <v>25.02</v>
      </c>
      <c r="F30" s="5">
        <v>39960585.75</v>
      </c>
      <c r="G30" s="6">
        <v>2.5999999999999999E-2</v>
      </c>
      <c r="H30" s="1">
        <v>0</v>
      </c>
      <c r="I30" s="1"/>
    </row>
    <row r="31" spans="1:9" x14ac:dyDescent="0.3">
      <c r="A31" s="1" t="s">
        <v>20</v>
      </c>
      <c r="B31" s="1" t="s">
        <v>19</v>
      </c>
      <c r="C31" s="1" t="s">
        <v>17</v>
      </c>
      <c r="D31" s="1">
        <v>4096</v>
      </c>
      <c r="E31" s="3">
        <v>60.49</v>
      </c>
      <c r="F31" s="5">
        <v>16531927.689999999</v>
      </c>
      <c r="G31" s="6">
        <v>2.4E-2</v>
      </c>
      <c r="H31" s="1">
        <v>0</v>
      </c>
      <c r="I31" s="1"/>
    </row>
    <row r="32" spans="1:9" x14ac:dyDescent="0.3">
      <c r="A32" s="1" t="s">
        <v>20</v>
      </c>
      <c r="B32" s="1" t="s">
        <v>15</v>
      </c>
      <c r="C32" s="1" t="s">
        <v>16</v>
      </c>
      <c r="D32" s="1">
        <v>16384</v>
      </c>
      <c r="E32" s="3">
        <v>23.34</v>
      </c>
      <c r="F32" s="5">
        <v>42845636.460000001</v>
      </c>
      <c r="G32" s="6">
        <v>6.9000000000000006E-2</v>
      </c>
      <c r="H32" s="1">
        <v>0</v>
      </c>
      <c r="I32" s="1" t="s">
        <v>39</v>
      </c>
    </row>
    <row r="33" spans="1:9" x14ac:dyDescent="0.3">
      <c r="A33" s="1" t="s">
        <v>20</v>
      </c>
      <c r="B33" s="1" t="s">
        <v>15</v>
      </c>
      <c r="C33" s="1" t="s">
        <v>17</v>
      </c>
      <c r="D33" s="1">
        <v>16384</v>
      </c>
      <c r="E33" s="3">
        <v>71.8</v>
      </c>
      <c r="F33" s="5">
        <v>13927685.529999999</v>
      </c>
      <c r="G33" s="6">
        <v>1.7000000000000001E-2</v>
      </c>
      <c r="H33" s="1">
        <v>0.01</v>
      </c>
      <c r="I33" s="1"/>
    </row>
    <row r="34" spans="1:9" x14ac:dyDescent="0.3">
      <c r="A34" s="1" t="s">
        <v>20</v>
      </c>
      <c r="B34" s="1" t="s">
        <v>18</v>
      </c>
      <c r="C34" s="1" t="s">
        <v>16</v>
      </c>
      <c r="D34" s="1">
        <v>16384</v>
      </c>
      <c r="E34" s="3">
        <v>30.42</v>
      </c>
      <c r="F34" s="5">
        <v>32874381.5</v>
      </c>
      <c r="G34" s="6">
        <v>6.8000000000000005E-2</v>
      </c>
      <c r="H34" s="1">
        <v>0.01</v>
      </c>
      <c r="I34" s="1" t="s">
        <v>39</v>
      </c>
    </row>
    <row r="35" spans="1:9" x14ac:dyDescent="0.3">
      <c r="A35" s="1" t="s">
        <v>20</v>
      </c>
      <c r="B35" s="1" t="s">
        <v>18</v>
      </c>
      <c r="C35" s="1" t="s">
        <v>17</v>
      </c>
      <c r="D35" s="1">
        <v>16384</v>
      </c>
      <c r="E35" s="3">
        <v>58.02</v>
      </c>
      <c r="F35" s="5">
        <v>17234922.600000001</v>
      </c>
      <c r="G35" s="6">
        <v>3.1E-2</v>
      </c>
      <c r="H35" s="1">
        <v>0.01</v>
      </c>
      <c r="I35" s="1"/>
    </row>
    <row r="36" spans="1:9" x14ac:dyDescent="0.3">
      <c r="A36" s="1" t="s">
        <v>20</v>
      </c>
      <c r="B36" s="1" t="s">
        <v>19</v>
      </c>
      <c r="C36" s="1" t="s">
        <v>16</v>
      </c>
      <c r="D36" s="1">
        <v>16384</v>
      </c>
      <c r="E36" s="3">
        <v>30.03</v>
      </c>
      <c r="F36" s="5">
        <v>33298782.59</v>
      </c>
      <c r="G36" s="6">
        <v>0.03</v>
      </c>
      <c r="H36" s="1">
        <v>0.01</v>
      </c>
      <c r="I36" s="1"/>
    </row>
    <row r="37" spans="1:9" x14ac:dyDescent="0.3">
      <c r="A37" s="1" t="s">
        <v>20</v>
      </c>
      <c r="B37" s="1" t="s">
        <v>19</v>
      </c>
      <c r="C37" s="1" t="s">
        <v>17</v>
      </c>
      <c r="D37" s="1">
        <v>16384</v>
      </c>
      <c r="E37" s="3">
        <v>78.67</v>
      </c>
      <c r="F37" s="5">
        <v>12711091.869999999</v>
      </c>
      <c r="G37" s="6">
        <v>4.0000000000000001E-3</v>
      </c>
      <c r="H37" s="1">
        <v>0.01</v>
      </c>
      <c r="I37" s="1"/>
    </row>
    <row r="38" spans="1:9" x14ac:dyDescent="0.3">
      <c r="A38" s="1" t="s">
        <v>20</v>
      </c>
      <c r="B38" s="1" t="s">
        <v>15</v>
      </c>
      <c r="C38" s="1" t="s">
        <v>16</v>
      </c>
      <c r="D38" s="1">
        <v>65536</v>
      </c>
      <c r="E38" s="3">
        <v>57.54</v>
      </c>
      <c r="F38" s="5">
        <v>17377783.289999999</v>
      </c>
      <c r="G38" s="6">
        <v>3.3000000000000002E-2</v>
      </c>
      <c r="H38" s="1">
        <v>0.03</v>
      </c>
      <c r="I38" s="1"/>
    </row>
    <row r="39" spans="1:9" x14ac:dyDescent="0.3">
      <c r="A39" s="1" t="s">
        <v>20</v>
      </c>
      <c r="B39" s="1" t="s">
        <v>15</v>
      </c>
      <c r="C39" s="1" t="s">
        <v>17</v>
      </c>
      <c r="D39" s="1">
        <v>65536</v>
      </c>
      <c r="E39" s="3">
        <v>94.51</v>
      </c>
      <c r="F39" s="5">
        <v>10581349.369999999</v>
      </c>
      <c r="G39" s="6">
        <v>1.2999999999999999E-2</v>
      </c>
      <c r="H39" s="1">
        <v>7.0000000000000007E-2</v>
      </c>
      <c r="I39" s="1"/>
    </row>
    <row r="40" spans="1:9" x14ac:dyDescent="0.3">
      <c r="A40" s="1" t="s">
        <v>20</v>
      </c>
      <c r="B40" s="1" t="s">
        <v>18</v>
      </c>
      <c r="C40" s="1" t="s">
        <v>16</v>
      </c>
      <c r="D40" s="1">
        <v>65536</v>
      </c>
      <c r="E40" s="3">
        <v>60.9</v>
      </c>
      <c r="F40" s="5">
        <v>16419169.859999999</v>
      </c>
      <c r="G40" s="6">
        <v>0.19500000000000001</v>
      </c>
      <c r="H40" s="1">
        <v>0.04</v>
      </c>
      <c r="I40" s="1" t="s">
        <v>39</v>
      </c>
    </row>
    <row r="41" spans="1:9" x14ac:dyDescent="0.3">
      <c r="A41" s="1" t="s">
        <v>20</v>
      </c>
      <c r="B41" s="1" t="s">
        <v>18</v>
      </c>
      <c r="C41" s="1" t="s">
        <v>17</v>
      </c>
      <c r="D41" s="1">
        <v>65536</v>
      </c>
      <c r="E41" s="3">
        <v>97.33</v>
      </c>
      <c r="F41" s="5">
        <v>10274093.939999999</v>
      </c>
      <c r="G41" s="6">
        <v>6.8000000000000005E-2</v>
      </c>
      <c r="H41" s="1">
        <v>7.0000000000000007E-2</v>
      </c>
      <c r="I41" s="1" t="s">
        <v>39</v>
      </c>
    </row>
    <row r="42" spans="1:9" x14ac:dyDescent="0.3">
      <c r="A42" s="1" t="s">
        <v>20</v>
      </c>
      <c r="B42" s="1" t="s">
        <v>19</v>
      </c>
      <c r="C42" s="1" t="s">
        <v>16</v>
      </c>
      <c r="D42" s="1">
        <v>65536</v>
      </c>
      <c r="E42" s="3">
        <v>33.700000000000003</v>
      </c>
      <c r="F42" s="5">
        <v>29671685.440000001</v>
      </c>
      <c r="G42" s="6">
        <v>7.4999999999999997E-2</v>
      </c>
      <c r="H42" s="1">
        <v>0.04</v>
      </c>
      <c r="I42" s="1" t="s">
        <v>39</v>
      </c>
    </row>
    <row r="43" spans="1:9" x14ac:dyDescent="0.3">
      <c r="A43" s="1" t="s">
        <v>20</v>
      </c>
      <c r="B43" s="1" t="s">
        <v>19</v>
      </c>
      <c r="C43" s="1" t="s">
        <v>17</v>
      </c>
      <c r="D43" s="1">
        <v>65536</v>
      </c>
      <c r="E43" s="3">
        <v>119.67</v>
      </c>
      <c r="F43" s="5">
        <v>8356401.7599999998</v>
      </c>
      <c r="G43" s="6">
        <v>2.9000000000000001E-2</v>
      </c>
      <c r="H43" s="1">
        <v>0.09</v>
      </c>
      <c r="I43" s="1"/>
    </row>
    <row r="44" spans="1:9" x14ac:dyDescent="0.3">
      <c r="A44" s="1" t="s">
        <v>20</v>
      </c>
      <c r="B44" s="1" t="s">
        <v>15</v>
      </c>
      <c r="C44" s="1" t="s">
        <v>16</v>
      </c>
      <c r="D44" s="1">
        <v>262144</v>
      </c>
      <c r="E44" s="3">
        <v>76.77</v>
      </c>
      <c r="F44" s="5">
        <v>13026115.689999999</v>
      </c>
      <c r="G44" s="6">
        <v>4.2000000000000003E-2</v>
      </c>
      <c r="H44" s="1">
        <v>0.22</v>
      </c>
      <c r="I44" s="1"/>
    </row>
    <row r="45" spans="1:9" x14ac:dyDescent="0.3">
      <c r="A45" s="1" t="s">
        <v>20</v>
      </c>
      <c r="B45" s="1" t="s">
        <v>15</v>
      </c>
      <c r="C45" s="1" t="s">
        <v>17</v>
      </c>
      <c r="D45" s="1">
        <v>262144</v>
      </c>
      <c r="E45" s="3">
        <v>145.57</v>
      </c>
      <c r="F45" s="5">
        <v>6869543.3499999996</v>
      </c>
      <c r="G45" s="6">
        <v>8.0000000000000002E-3</v>
      </c>
      <c r="H45" s="1">
        <v>0.43</v>
      </c>
      <c r="I45" s="1"/>
    </row>
    <row r="46" spans="1:9" x14ac:dyDescent="0.3">
      <c r="A46" s="1" t="s">
        <v>20</v>
      </c>
      <c r="B46" s="1" t="s">
        <v>18</v>
      </c>
      <c r="C46" s="1" t="s">
        <v>16</v>
      </c>
      <c r="D46" s="1">
        <v>262144</v>
      </c>
      <c r="E46" s="3">
        <v>96.35</v>
      </c>
      <c r="F46" s="5">
        <v>10379045.15</v>
      </c>
      <c r="G46" s="6">
        <v>3.5000000000000003E-2</v>
      </c>
      <c r="H46" s="1">
        <v>0.27</v>
      </c>
      <c r="I46" s="1"/>
    </row>
    <row r="47" spans="1:9" x14ac:dyDescent="0.3">
      <c r="A47" s="1" t="s">
        <v>20</v>
      </c>
      <c r="B47" s="1" t="s">
        <v>18</v>
      </c>
      <c r="C47" s="1" t="s">
        <v>17</v>
      </c>
      <c r="D47" s="1">
        <v>262144</v>
      </c>
      <c r="E47" s="3">
        <v>180.52</v>
      </c>
      <c r="F47" s="5">
        <v>5539449.8499999996</v>
      </c>
      <c r="G47" s="6">
        <v>2.5999999999999999E-2</v>
      </c>
      <c r="H47" s="1">
        <v>0.51</v>
      </c>
      <c r="I47" s="1"/>
    </row>
    <row r="48" spans="1:9" x14ac:dyDescent="0.3">
      <c r="A48" s="1" t="s">
        <v>20</v>
      </c>
      <c r="B48" s="1" t="s">
        <v>19</v>
      </c>
      <c r="C48" s="1" t="s">
        <v>16</v>
      </c>
      <c r="D48" s="1">
        <v>262144</v>
      </c>
      <c r="E48" s="3">
        <v>43.99</v>
      </c>
      <c r="F48" s="5">
        <v>22732534.920000002</v>
      </c>
      <c r="G48" s="6">
        <v>8.2000000000000003E-2</v>
      </c>
      <c r="H48" s="1">
        <v>0.23</v>
      </c>
      <c r="I48" s="1" t="s">
        <v>39</v>
      </c>
    </row>
    <row r="49" spans="1:9" x14ac:dyDescent="0.3">
      <c r="A49" s="1" t="s">
        <v>20</v>
      </c>
      <c r="B49" s="1" t="s">
        <v>19</v>
      </c>
      <c r="C49" s="1" t="s">
        <v>17</v>
      </c>
      <c r="D49" s="1">
        <v>262144</v>
      </c>
      <c r="E49" s="3">
        <v>195.07</v>
      </c>
      <c r="F49" s="5">
        <v>5126391.07</v>
      </c>
      <c r="G49" s="6">
        <v>1.2999999999999999E-2</v>
      </c>
      <c r="H49" s="1">
        <v>0.56000000000000005</v>
      </c>
      <c r="I49" s="1"/>
    </row>
    <row r="50" spans="1:9" x14ac:dyDescent="0.3">
      <c r="A50" s="1" t="s">
        <v>21</v>
      </c>
      <c r="B50" s="1" t="s">
        <v>15</v>
      </c>
      <c r="C50" s="1" t="s">
        <v>16</v>
      </c>
      <c r="D50" s="1">
        <v>4096</v>
      </c>
      <c r="E50" s="3">
        <v>17.39</v>
      </c>
      <c r="F50" s="5">
        <v>57507090.109999999</v>
      </c>
      <c r="G50" s="6">
        <v>1.4E-2</v>
      </c>
      <c r="H50" s="1">
        <v>0</v>
      </c>
      <c r="I50" s="1"/>
    </row>
    <row r="51" spans="1:9" x14ac:dyDescent="0.3">
      <c r="A51" s="1" t="s">
        <v>21</v>
      </c>
      <c r="B51" s="1" t="s">
        <v>15</v>
      </c>
      <c r="C51" s="1" t="s">
        <v>17</v>
      </c>
      <c r="D51" s="1">
        <v>4096</v>
      </c>
      <c r="E51" s="3">
        <v>62.82</v>
      </c>
      <c r="F51" s="5">
        <v>15919655.49</v>
      </c>
      <c r="G51" s="6">
        <v>8.5999999999999993E-2</v>
      </c>
      <c r="H51" s="1">
        <v>0</v>
      </c>
      <c r="I51" s="1" t="s">
        <v>39</v>
      </c>
    </row>
    <row r="52" spans="1:9" x14ac:dyDescent="0.3">
      <c r="A52" s="1" t="s">
        <v>21</v>
      </c>
      <c r="B52" s="1" t="s">
        <v>18</v>
      </c>
      <c r="C52" s="1" t="s">
        <v>16</v>
      </c>
      <c r="D52" s="1">
        <v>4096</v>
      </c>
      <c r="E52" s="3">
        <v>14.62</v>
      </c>
      <c r="F52" s="5">
        <v>68410328.359999999</v>
      </c>
      <c r="G52" s="6">
        <v>3.7999999999999999E-2</v>
      </c>
      <c r="H52" s="1">
        <v>0</v>
      </c>
      <c r="I52" s="1"/>
    </row>
    <row r="53" spans="1:9" x14ac:dyDescent="0.3">
      <c r="A53" s="1" t="s">
        <v>21</v>
      </c>
      <c r="B53" s="1" t="s">
        <v>18</v>
      </c>
      <c r="C53" s="1" t="s">
        <v>17</v>
      </c>
      <c r="D53" s="1">
        <v>4096</v>
      </c>
      <c r="E53" s="3">
        <v>46.68</v>
      </c>
      <c r="F53" s="5">
        <v>21421921.91</v>
      </c>
      <c r="G53" s="6">
        <v>5.7000000000000002E-2</v>
      </c>
      <c r="H53" s="1">
        <v>0</v>
      </c>
      <c r="I53" s="1" t="s">
        <v>39</v>
      </c>
    </row>
    <row r="54" spans="1:9" x14ac:dyDescent="0.3">
      <c r="A54" s="1" t="s">
        <v>21</v>
      </c>
      <c r="B54" s="1" t="s">
        <v>19</v>
      </c>
      <c r="C54" s="1" t="s">
        <v>16</v>
      </c>
      <c r="D54" s="1">
        <v>4096</v>
      </c>
      <c r="E54" s="3">
        <v>19.649999999999999</v>
      </c>
      <c r="F54" s="5">
        <v>50887044.68</v>
      </c>
      <c r="G54" s="6">
        <v>2.5999999999999999E-2</v>
      </c>
      <c r="H54" s="1">
        <v>0</v>
      </c>
      <c r="I54" s="1"/>
    </row>
    <row r="55" spans="1:9" x14ac:dyDescent="0.3">
      <c r="A55" s="1" t="s">
        <v>21</v>
      </c>
      <c r="B55" s="1" t="s">
        <v>19</v>
      </c>
      <c r="C55" s="1" t="s">
        <v>17</v>
      </c>
      <c r="D55" s="1">
        <v>4096</v>
      </c>
      <c r="E55" s="3">
        <v>62.83</v>
      </c>
      <c r="F55" s="5">
        <v>15915820.23</v>
      </c>
      <c r="G55" s="6">
        <v>2.3E-2</v>
      </c>
      <c r="H55" s="1">
        <v>0</v>
      </c>
      <c r="I55" s="1"/>
    </row>
    <row r="56" spans="1:9" x14ac:dyDescent="0.3">
      <c r="A56" s="1" t="s">
        <v>21</v>
      </c>
      <c r="B56" s="1" t="s">
        <v>15</v>
      </c>
      <c r="C56" s="1" t="s">
        <v>16</v>
      </c>
      <c r="D56" s="1">
        <v>16384</v>
      </c>
      <c r="E56" s="3">
        <v>19.7</v>
      </c>
      <c r="F56" s="5">
        <v>50762648.060000002</v>
      </c>
      <c r="G56" s="6">
        <v>6.6000000000000003E-2</v>
      </c>
      <c r="H56" s="1">
        <v>0</v>
      </c>
      <c r="I56" s="1" t="s">
        <v>39</v>
      </c>
    </row>
    <row r="57" spans="1:9" x14ac:dyDescent="0.3">
      <c r="A57" s="1" t="s">
        <v>21</v>
      </c>
      <c r="B57" s="1" t="s">
        <v>15</v>
      </c>
      <c r="C57" s="1" t="s">
        <v>17</v>
      </c>
      <c r="D57" s="1">
        <v>16384</v>
      </c>
      <c r="E57" s="3">
        <v>83.37</v>
      </c>
      <c r="F57" s="5">
        <v>11994143.48</v>
      </c>
      <c r="G57" s="6">
        <v>1.2E-2</v>
      </c>
      <c r="H57" s="1">
        <v>0.02</v>
      </c>
      <c r="I57" s="1"/>
    </row>
    <row r="58" spans="1:9" x14ac:dyDescent="0.3">
      <c r="A58" s="1" t="s">
        <v>21</v>
      </c>
      <c r="B58" s="1" t="s">
        <v>18</v>
      </c>
      <c r="C58" s="1" t="s">
        <v>16</v>
      </c>
      <c r="D58" s="1">
        <v>16384</v>
      </c>
      <c r="E58" s="3">
        <v>18.690000000000001</v>
      </c>
      <c r="F58" s="5">
        <v>53502968.399999999</v>
      </c>
      <c r="G58" s="6">
        <v>7.9000000000000001E-2</v>
      </c>
      <c r="H58" s="1">
        <v>0</v>
      </c>
      <c r="I58" s="1" t="s">
        <v>39</v>
      </c>
    </row>
    <row r="59" spans="1:9" x14ac:dyDescent="0.3">
      <c r="A59" s="1" t="s">
        <v>21</v>
      </c>
      <c r="B59" s="1" t="s">
        <v>18</v>
      </c>
      <c r="C59" s="1" t="s">
        <v>17</v>
      </c>
      <c r="D59" s="1">
        <v>16384</v>
      </c>
      <c r="E59" s="3">
        <v>54.12</v>
      </c>
      <c r="F59" s="5">
        <v>18477459.170000002</v>
      </c>
      <c r="G59" s="6">
        <v>1.4999999999999999E-2</v>
      </c>
      <c r="H59" s="1">
        <v>0.01</v>
      </c>
      <c r="I59" s="1"/>
    </row>
    <row r="60" spans="1:9" x14ac:dyDescent="0.3">
      <c r="A60" s="1" t="s">
        <v>21</v>
      </c>
      <c r="B60" s="1" t="s">
        <v>19</v>
      </c>
      <c r="C60" s="1" t="s">
        <v>16</v>
      </c>
      <c r="D60" s="1">
        <v>16384</v>
      </c>
      <c r="E60" s="3">
        <v>25.07</v>
      </c>
      <c r="F60" s="5">
        <v>39883737.350000001</v>
      </c>
      <c r="G60" s="6">
        <v>4.2000000000000003E-2</v>
      </c>
      <c r="H60" s="1">
        <v>0</v>
      </c>
      <c r="I60" s="1"/>
    </row>
    <row r="61" spans="1:9" x14ac:dyDescent="0.3">
      <c r="A61" s="1" t="s">
        <v>21</v>
      </c>
      <c r="B61" s="1" t="s">
        <v>19</v>
      </c>
      <c r="C61" s="1" t="s">
        <v>17</v>
      </c>
      <c r="D61" s="1">
        <v>16384</v>
      </c>
      <c r="E61" s="3">
        <v>86.37</v>
      </c>
      <c r="F61" s="5">
        <v>11578479.460000001</v>
      </c>
      <c r="G61" s="6">
        <v>1.7000000000000001E-2</v>
      </c>
      <c r="H61" s="1">
        <v>0.02</v>
      </c>
      <c r="I61" s="1"/>
    </row>
    <row r="62" spans="1:9" x14ac:dyDescent="0.3">
      <c r="A62" s="1" t="s">
        <v>21</v>
      </c>
      <c r="B62" s="1" t="s">
        <v>15</v>
      </c>
      <c r="C62" s="1" t="s">
        <v>16</v>
      </c>
      <c r="D62" s="1">
        <v>65536</v>
      </c>
      <c r="E62" s="3">
        <v>19.12</v>
      </c>
      <c r="F62" s="5">
        <v>52300725.979999997</v>
      </c>
      <c r="G62" s="6">
        <v>2.1000000000000001E-2</v>
      </c>
      <c r="H62" s="1">
        <v>0.01</v>
      </c>
      <c r="I62" s="1"/>
    </row>
    <row r="63" spans="1:9" x14ac:dyDescent="0.3">
      <c r="A63" s="1" t="s">
        <v>21</v>
      </c>
      <c r="B63" s="1" t="s">
        <v>15</v>
      </c>
      <c r="C63" s="1" t="s">
        <v>17</v>
      </c>
      <c r="D63" s="1">
        <v>65536</v>
      </c>
      <c r="E63" s="3">
        <v>121.25</v>
      </c>
      <c r="F63" s="5">
        <v>8247147.6500000004</v>
      </c>
      <c r="G63" s="6">
        <v>1.2E-2</v>
      </c>
      <c r="H63" s="1">
        <v>0.09</v>
      </c>
      <c r="I63" s="1"/>
    </row>
    <row r="64" spans="1:9" x14ac:dyDescent="0.3">
      <c r="A64" s="1" t="s">
        <v>21</v>
      </c>
      <c r="B64" s="1" t="s">
        <v>18</v>
      </c>
      <c r="C64" s="1" t="s">
        <v>16</v>
      </c>
      <c r="D64" s="1">
        <v>65536</v>
      </c>
      <c r="E64" s="3">
        <v>33.22</v>
      </c>
      <c r="F64" s="5">
        <v>30099554.129999999</v>
      </c>
      <c r="G64" s="6">
        <v>7.1999999999999995E-2</v>
      </c>
      <c r="H64" s="1">
        <v>0.02</v>
      </c>
      <c r="I64" s="1" t="s">
        <v>39</v>
      </c>
    </row>
    <row r="65" spans="1:9" x14ac:dyDescent="0.3">
      <c r="A65" s="1" t="s">
        <v>21</v>
      </c>
      <c r="B65" s="1" t="s">
        <v>18</v>
      </c>
      <c r="C65" s="1" t="s">
        <v>17</v>
      </c>
      <c r="D65" s="1">
        <v>65536</v>
      </c>
      <c r="E65" s="3">
        <v>96.76</v>
      </c>
      <c r="F65" s="5">
        <v>10334650.869999999</v>
      </c>
      <c r="G65" s="6">
        <v>2.9000000000000001E-2</v>
      </c>
      <c r="H65" s="1">
        <v>7.0000000000000007E-2</v>
      </c>
      <c r="I65" s="1"/>
    </row>
    <row r="66" spans="1:9" x14ac:dyDescent="0.3">
      <c r="A66" s="1" t="s">
        <v>21</v>
      </c>
      <c r="B66" s="1" t="s">
        <v>19</v>
      </c>
      <c r="C66" s="1" t="s">
        <v>16</v>
      </c>
      <c r="D66" s="1">
        <v>65536</v>
      </c>
      <c r="E66" s="3">
        <v>29.4</v>
      </c>
      <c r="F66" s="5">
        <v>34014565.810000002</v>
      </c>
      <c r="G66" s="6">
        <v>1.7000000000000001E-2</v>
      </c>
      <c r="H66" s="1">
        <v>0.02</v>
      </c>
      <c r="I66" s="1"/>
    </row>
    <row r="67" spans="1:9" x14ac:dyDescent="0.3">
      <c r="A67" s="1" t="s">
        <v>21</v>
      </c>
      <c r="B67" s="1" t="s">
        <v>19</v>
      </c>
      <c r="C67" s="1" t="s">
        <v>17</v>
      </c>
      <c r="D67" s="1">
        <v>65536</v>
      </c>
      <c r="E67" s="3">
        <v>130.47999999999999</v>
      </c>
      <c r="F67" s="5">
        <v>7663938.3600000003</v>
      </c>
      <c r="G67" s="6">
        <v>3.9E-2</v>
      </c>
      <c r="H67" s="1">
        <v>0.1</v>
      </c>
      <c r="I67" s="1"/>
    </row>
    <row r="68" spans="1:9" x14ac:dyDescent="0.3">
      <c r="A68" s="1" t="s">
        <v>21</v>
      </c>
      <c r="B68" s="1" t="s">
        <v>15</v>
      </c>
      <c r="C68" s="1" t="s">
        <v>16</v>
      </c>
      <c r="D68" s="1">
        <v>262144</v>
      </c>
      <c r="E68" s="3">
        <v>25.99</v>
      </c>
      <c r="F68" s="5">
        <v>38481587.350000001</v>
      </c>
      <c r="G68" s="6">
        <v>0.14399999999999999</v>
      </c>
      <c r="H68" s="1">
        <v>0.08</v>
      </c>
      <c r="I68" s="1" t="s">
        <v>39</v>
      </c>
    </row>
    <row r="69" spans="1:9" x14ac:dyDescent="0.3">
      <c r="A69" s="1" t="s">
        <v>21</v>
      </c>
      <c r="B69" s="1" t="s">
        <v>15</v>
      </c>
      <c r="C69" s="1" t="s">
        <v>17</v>
      </c>
      <c r="D69" s="1">
        <v>262144</v>
      </c>
      <c r="E69" s="3">
        <v>204.23</v>
      </c>
      <c r="F69" s="5">
        <v>4896528.28</v>
      </c>
      <c r="G69" s="6">
        <v>1.7999999999999999E-2</v>
      </c>
      <c r="H69" s="1">
        <v>0.59</v>
      </c>
      <c r="I69" s="1"/>
    </row>
    <row r="70" spans="1:9" x14ac:dyDescent="0.3">
      <c r="A70" s="1" t="s">
        <v>21</v>
      </c>
      <c r="B70" s="1" t="s">
        <v>18</v>
      </c>
      <c r="C70" s="1" t="s">
        <v>16</v>
      </c>
      <c r="D70" s="1">
        <v>262144</v>
      </c>
      <c r="E70" s="3">
        <v>38.92</v>
      </c>
      <c r="F70" s="5">
        <v>25696346.239999998</v>
      </c>
      <c r="G70" s="6">
        <v>6.9000000000000006E-2</v>
      </c>
      <c r="H70" s="1">
        <v>0.11</v>
      </c>
      <c r="I70" s="1" t="s">
        <v>39</v>
      </c>
    </row>
    <row r="71" spans="1:9" x14ac:dyDescent="0.3">
      <c r="A71" s="1" t="s">
        <v>21</v>
      </c>
      <c r="B71" s="1" t="s">
        <v>18</v>
      </c>
      <c r="C71" s="1" t="s">
        <v>17</v>
      </c>
      <c r="D71" s="1">
        <v>262144</v>
      </c>
      <c r="E71" s="3">
        <v>174.7</v>
      </c>
      <c r="F71" s="5">
        <v>5724216.6699999999</v>
      </c>
      <c r="G71" s="6">
        <v>5.8999999999999997E-2</v>
      </c>
      <c r="H71" s="1">
        <v>0.51</v>
      </c>
      <c r="I71" s="1" t="s">
        <v>39</v>
      </c>
    </row>
    <row r="72" spans="1:9" x14ac:dyDescent="0.3">
      <c r="A72" s="1" t="s">
        <v>21</v>
      </c>
      <c r="B72" s="1" t="s">
        <v>19</v>
      </c>
      <c r="C72" s="1" t="s">
        <v>16</v>
      </c>
      <c r="D72" s="1">
        <v>262144</v>
      </c>
      <c r="E72" s="3">
        <v>33.19</v>
      </c>
      <c r="F72" s="5">
        <v>30132138.460000001</v>
      </c>
      <c r="G72" s="6">
        <v>1.9E-2</v>
      </c>
      <c r="H72" s="1">
        <v>0.09</v>
      </c>
      <c r="I72" s="1"/>
    </row>
    <row r="73" spans="1:9" x14ac:dyDescent="0.3">
      <c r="A73" s="1" t="s">
        <v>21</v>
      </c>
      <c r="B73" s="1" t="s">
        <v>19</v>
      </c>
      <c r="C73" s="1" t="s">
        <v>17</v>
      </c>
      <c r="D73" s="1">
        <v>262144</v>
      </c>
      <c r="E73" s="3">
        <v>224.88</v>
      </c>
      <c r="F73" s="5">
        <v>4446827.83</v>
      </c>
      <c r="G73" s="6">
        <v>6.3E-2</v>
      </c>
      <c r="H73" s="1">
        <v>0.66</v>
      </c>
      <c r="I73" s="1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3"/>
  <sheetViews>
    <sheetView zoomScaleNormal="100" workbookViewId="0">
      <pane ySplit="1" topLeftCell="A50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8" customWidth="1"/>
    <col min="4" max="4" width="9" customWidth="1"/>
    <col min="5" max="5" width="10" customWidth="1"/>
    <col min="6" max="6" width="14" customWidth="1"/>
    <col min="7" max="7" width="8" customWidth="1"/>
    <col min="8" max="9" width="10" customWidth="1"/>
  </cols>
  <sheetData>
    <row r="1" spans="1:9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spans="1:9" x14ac:dyDescent="0.3">
      <c r="A2" s="1" t="s">
        <v>14</v>
      </c>
      <c r="B2" s="1" t="s">
        <v>15</v>
      </c>
      <c r="C2" s="1" t="s">
        <v>16</v>
      </c>
      <c r="D2" s="1">
        <v>4096</v>
      </c>
      <c r="E2" s="3">
        <v>48.23</v>
      </c>
      <c r="F2" s="5">
        <v>20734179.59</v>
      </c>
      <c r="G2" s="6">
        <v>1.7000000000000001E-2</v>
      </c>
      <c r="H2" s="1">
        <v>0.12</v>
      </c>
      <c r="I2" s="1"/>
    </row>
    <row r="3" spans="1:9" x14ac:dyDescent="0.3">
      <c r="A3" s="1" t="s">
        <v>14</v>
      </c>
      <c r="B3" s="1" t="s">
        <v>15</v>
      </c>
      <c r="C3" s="1" t="s">
        <v>17</v>
      </c>
      <c r="D3" s="1">
        <v>4096</v>
      </c>
      <c r="E3" s="3">
        <v>40.270000000000003</v>
      </c>
      <c r="F3" s="5">
        <v>24829385.510000002</v>
      </c>
      <c r="G3" s="6">
        <v>7.0000000000000001E-3</v>
      </c>
      <c r="H3" s="1">
        <v>0.1</v>
      </c>
      <c r="I3" s="1"/>
    </row>
    <row r="4" spans="1:9" x14ac:dyDescent="0.3">
      <c r="A4" s="1" t="s">
        <v>14</v>
      </c>
      <c r="B4" s="1" t="s">
        <v>18</v>
      </c>
      <c r="C4" s="1" t="s">
        <v>16</v>
      </c>
      <c r="D4" s="1">
        <v>4096</v>
      </c>
      <c r="E4" s="3">
        <v>14.86</v>
      </c>
      <c r="F4" s="5">
        <v>67302624.489999995</v>
      </c>
      <c r="G4" s="6">
        <v>7.0000000000000001E-3</v>
      </c>
      <c r="H4" s="1">
        <v>0.04</v>
      </c>
      <c r="I4" s="1"/>
    </row>
    <row r="5" spans="1:9" x14ac:dyDescent="0.3">
      <c r="A5" s="1" t="s">
        <v>14</v>
      </c>
      <c r="B5" s="1" t="s">
        <v>18</v>
      </c>
      <c r="C5" s="1" t="s">
        <v>17</v>
      </c>
      <c r="D5" s="1">
        <v>4096</v>
      </c>
      <c r="E5" s="3">
        <v>13.34</v>
      </c>
      <c r="F5" s="5">
        <v>74962758.200000003</v>
      </c>
      <c r="G5" s="6">
        <v>0.02</v>
      </c>
      <c r="H5" s="1">
        <v>0.03</v>
      </c>
      <c r="I5" s="1"/>
    </row>
    <row r="6" spans="1:9" x14ac:dyDescent="0.3">
      <c r="A6" s="1" t="s">
        <v>14</v>
      </c>
      <c r="B6" s="1" t="s">
        <v>19</v>
      </c>
      <c r="C6" s="1" t="s">
        <v>16</v>
      </c>
      <c r="D6" s="1">
        <v>4096</v>
      </c>
      <c r="E6" s="3">
        <v>9.65</v>
      </c>
      <c r="F6" s="5">
        <v>103585322.05</v>
      </c>
      <c r="G6" s="6">
        <v>2.5999999999999999E-2</v>
      </c>
      <c r="H6" s="1">
        <v>0.02</v>
      </c>
      <c r="I6" s="1"/>
    </row>
    <row r="7" spans="1:9" x14ac:dyDescent="0.3">
      <c r="A7" s="1" t="s">
        <v>14</v>
      </c>
      <c r="B7" s="1" t="s">
        <v>19</v>
      </c>
      <c r="C7" s="1" t="s">
        <v>17</v>
      </c>
      <c r="D7" s="1">
        <v>4096</v>
      </c>
      <c r="E7" s="3">
        <v>11.24</v>
      </c>
      <c r="F7" s="5">
        <v>88970358.799999997</v>
      </c>
      <c r="G7" s="6">
        <v>1.0999999999999999E-2</v>
      </c>
      <c r="H7" s="1">
        <v>0.03</v>
      </c>
      <c r="I7" s="1"/>
    </row>
    <row r="8" spans="1:9" x14ac:dyDescent="0.3">
      <c r="A8" s="1" t="s">
        <v>14</v>
      </c>
      <c r="B8" s="1" t="s">
        <v>15</v>
      </c>
      <c r="C8" s="1" t="s">
        <v>16</v>
      </c>
      <c r="D8" s="1">
        <v>16384</v>
      </c>
      <c r="E8" s="3">
        <v>67</v>
      </c>
      <c r="F8" s="5">
        <v>14926248.039999999</v>
      </c>
      <c r="G8" s="6">
        <v>4.0000000000000001E-3</v>
      </c>
      <c r="H8" s="1">
        <v>0.15</v>
      </c>
      <c r="I8" s="1"/>
    </row>
    <row r="9" spans="1:9" x14ac:dyDescent="0.3">
      <c r="A9" s="1" t="s">
        <v>14</v>
      </c>
      <c r="B9" s="1" t="s">
        <v>15</v>
      </c>
      <c r="C9" s="1" t="s">
        <v>17</v>
      </c>
      <c r="D9" s="1">
        <v>16384</v>
      </c>
      <c r="E9" s="3">
        <v>59.43</v>
      </c>
      <c r="F9" s="5">
        <v>16826553.34</v>
      </c>
      <c r="G9" s="6">
        <v>3.0000000000000001E-3</v>
      </c>
      <c r="H9" s="1">
        <v>0.14000000000000001</v>
      </c>
      <c r="I9" s="1"/>
    </row>
    <row r="10" spans="1:9" x14ac:dyDescent="0.3">
      <c r="A10" s="1" t="s">
        <v>14</v>
      </c>
      <c r="B10" s="1" t="s">
        <v>18</v>
      </c>
      <c r="C10" s="1" t="s">
        <v>16</v>
      </c>
      <c r="D10" s="1">
        <v>16384</v>
      </c>
      <c r="E10" s="3">
        <v>26.59</v>
      </c>
      <c r="F10" s="5">
        <v>37604936.600000001</v>
      </c>
      <c r="G10" s="6">
        <v>4.0000000000000001E-3</v>
      </c>
      <c r="H10" s="1">
        <v>0.06</v>
      </c>
      <c r="I10" s="1"/>
    </row>
    <row r="11" spans="1:9" x14ac:dyDescent="0.3">
      <c r="A11" s="1" t="s">
        <v>14</v>
      </c>
      <c r="B11" s="1" t="s">
        <v>18</v>
      </c>
      <c r="C11" s="1" t="s">
        <v>17</v>
      </c>
      <c r="D11" s="1">
        <v>16384</v>
      </c>
      <c r="E11" s="3">
        <v>24.21</v>
      </c>
      <c r="F11" s="5">
        <v>41298188.649999999</v>
      </c>
      <c r="G11" s="6">
        <v>7.0000000000000001E-3</v>
      </c>
      <c r="H11" s="1">
        <v>0.06</v>
      </c>
      <c r="I11" s="1"/>
    </row>
    <row r="12" spans="1:9" x14ac:dyDescent="0.3">
      <c r="A12" s="1" t="s">
        <v>14</v>
      </c>
      <c r="B12" s="1" t="s">
        <v>19</v>
      </c>
      <c r="C12" s="1" t="s">
        <v>16</v>
      </c>
      <c r="D12" s="1">
        <v>16384</v>
      </c>
      <c r="E12" s="3">
        <v>18.3</v>
      </c>
      <c r="F12" s="5">
        <v>54653192.57</v>
      </c>
      <c r="G12" s="6">
        <v>3.0000000000000001E-3</v>
      </c>
      <c r="H12" s="1">
        <v>0.04</v>
      </c>
      <c r="I12" s="1"/>
    </row>
    <row r="13" spans="1:9" x14ac:dyDescent="0.3">
      <c r="A13" s="1" t="s">
        <v>14</v>
      </c>
      <c r="B13" s="1" t="s">
        <v>19</v>
      </c>
      <c r="C13" s="1" t="s">
        <v>17</v>
      </c>
      <c r="D13" s="1">
        <v>16384</v>
      </c>
      <c r="E13" s="3">
        <v>21.14</v>
      </c>
      <c r="F13" s="5">
        <v>47297099.600000001</v>
      </c>
      <c r="G13" s="6">
        <v>8.0000000000000002E-3</v>
      </c>
      <c r="H13" s="1">
        <v>0.05</v>
      </c>
      <c r="I13" s="1"/>
    </row>
    <row r="14" spans="1:9" x14ac:dyDescent="0.3">
      <c r="A14" s="1" t="s">
        <v>14</v>
      </c>
      <c r="B14" s="1" t="s">
        <v>15</v>
      </c>
      <c r="C14" s="1" t="s">
        <v>16</v>
      </c>
      <c r="D14" s="1">
        <v>65536</v>
      </c>
      <c r="E14" s="3">
        <v>102.16</v>
      </c>
      <c r="F14" s="5">
        <v>9788467.5700000003</v>
      </c>
      <c r="G14" s="6">
        <v>8.0000000000000002E-3</v>
      </c>
      <c r="H14" s="1">
        <v>0.25</v>
      </c>
      <c r="I14" s="1"/>
    </row>
    <row r="15" spans="1:9" x14ac:dyDescent="0.3">
      <c r="A15" s="1" t="s">
        <v>14</v>
      </c>
      <c r="B15" s="1" t="s">
        <v>15</v>
      </c>
      <c r="C15" s="1" t="s">
        <v>17</v>
      </c>
      <c r="D15" s="1">
        <v>65536</v>
      </c>
      <c r="E15" s="3">
        <v>96.45</v>
      </c>
      <c r="F15" s="5">
        <v>10368339.800000001</v>
      </c>
      <c r="G15" s="6">
        <v>2.5999999999999999E-2</v>
      </c>
      <c r="H15" s="1">
        <v>0.24</v>
      </c>
      <c r="I15" s="1"/>
    </row>
    <row r="16" spans="1:9" x14ac:dyDescent="0.3">
      <c r="A16" s="1" t="s">
        <v>14</v>
      </c>
      <c r="B16" s="1" t="s">
        <v>18</v>
      </c>
      <c r="C16" s="1" t="s">
        <v>16</v>
      </c>
      <c r="D16" s="1">
        <v>65536</v>
      </c>
      <c r="E16" s="3">
        <v>41.57</v>
      </c>
      <c r="F16" s="5">
        <v>24056479.75</v>
      </c>
      <c r="G16" s="6">
        <v>8.0000000000000002E-3</v>
      </c>
      <c r="H16" s="1">
        <v>0.1</v>
      </c>
      <c r="I16" s="1"/>
    </row>
    <row r="17" spans="1:9" x14ac:dyDescent="0.3">
      <c r="A17" s="1" t="s">
        <v>14</v>
      </c>
      <c r="B17" s="1" t="s">
        <v>18</v>
      </c>
      <c r="C17" s="1" t="s">
        <v>17</v>
      </c>
      <c r="D17" s="1">
        <v>65536</v>
      </c>
      <c r="E17" s="3">
        <v>37.880000000000003</v>
      </c>
      <c r="F17" s="5">
        <v>26395950.600000001</v>
      </c>
      <c r="G17" s="6">
        <v>6.0000000000000001E-3</v>
      </c>
      <c r="H17" s="1">
        <v>0.09</v>
      </c>
      <c r="I17" s="1"/>
    </row>
    <row r="18" spans="1:9" x14ac:dyDescent="0.3">
      <c r="A18" s="1" t="s">
        <v>14</v>
      </c>
      <c r="B18" s="1" t="s">
        <v>19</v>
      </c>
      <c r="C18" s="1" t="s">
        <v>16</v>
      </c>
      <c r="D18" s="1">
        <v>65536</v>
      </c>
      <c r="E18" s="3">
        <v>27.47</v>
      </c>
      <c r="F18" s="5">
        <v>36409316.130000003</v>
      </c>
      <c r="G18" s="6">
        <v>0.01</v>
      </c>
      <c r="H18" s="1">
        <v>7.0000000000000007E-2</v>
      </c>
      <c r="I18" s="1"/>
    </row>
    <row r="19" spans="1:9" x14ac:dyDescent="0.3">
      <c r="A19" s="1" t="s">
        <v>14</v>
      </c>
      <c r="B19" s="1" t="s">
        <v>19</v>
      </c>
      <c r="C19" s="1" t="s">
        <v>17</v>
      </c>
      <c r="D19" s="1">
        <v>65536</v>
      </c>
      <c r="E19" s="3">
        <v>30.59</v>
      </c>
      <c r="F19" s="5">
        <v>32692115.699999999</v>
      </c>
      <c r="G19" s="6">
        <v>6.0000000000000001E-3</v>
      </c>
      <c r="H19" s="1">
        <v>7.0000000000000007E-2</v>
      </c>
      <c r="I19" s="1"/>
    </row>
    <row r="20" spans="1:9" x14ac:dyDescent="0.3">
      <c r="A20" s="1" t="s">
        <v>14</v>
      </c>
      <c r="B20" s="1" t="s">
        <v>15</v>
      </c>
      <c r="C20" s="1" t="s">
        <v>16</v>
      </c>
      <c r="D20" s="1">
        <v>262144</v>
      </c>
      <c r="E20" s="3">
        <v>192.69</v>
      </c>
      <c r="F20" s="5">
        <v>5189561.46</v>
      </c>
      <c r="G20" s="6">
        <v>3.4000000000000002E-2</v>
      </c>
      <c r="H20" s="1">
        <v>0.47</v>
      </c>
      <c r="I20" s="1"/>
    </row>
    <row r="21" spans="1:9" x14ac:dyDescent="0.3">
      <c r="A21" s="1" t="s">
        <v>14</v>
      </c>
      <c r="B21" s="1" t="s">
        <v>15</v>
      </c>
      <c r="C21" s="1" t="s">
        <v>17</v>
      </c>
      <c r="D21" s="1">
        <v>262144</v>
      </c>
      <c r="E21" s="3">
        <v>189.85</v>
      </c>
      <c r="F21" s="5">
        <v>5267379.16</v>
      </c>
      <c r="G21" s="6">
        <v>0.05</v>
      </c>
      <c r="H21" s="1">
        <v>0.47</v>
      </c>
      <c r="I21" s="1" t="s">
        <v>39</v>
      </c>
    </row>
    <row r="22" spans="1:9" x14ac:dyDescent="0.3">
      <c r="A22" s="1" t="s">
        <v>14</v>
      </c>
      <c r="B22" s="1" t="s">
        <v>18</v>
      </c>
      <c r="C22" s="1" t="s">
        <v>16</v>
      </c>
      <c r="D22" s="1">
        <v>262144</v>
      </c>
      <c r="E22" s="3">
        <v>77.22</v>
      </c>
      <c r="F22" s="5">
        <v>12950051.970000001</v>
      </c>
      <c r="G22" s="6">
        <v>8.9999999999999993E-3</v>
      </c>
      <c r="H22" s="1">
        <v>0.19</v>
      </c>
      <c r="I22" s="1"/>
    </row>
    <row r="23" spans="1:9" x14ac:dyDescent="0.3">
      <c r="A23" s="1" t="s">
        <v>14</v>
      </c>
      <c r="B23" s="1" t="s">
        <v>18</v>
      </c>
      <c r="C23" s="1" t="s">
        <v>17</v>
      </c>
      <c r="D23" s="1">
        <v>262144</v>
      </c>
      <c r="E23" s="3">
        <v>78.06</v>
      </c>
      <c r="F23" s="5">
        <v>12811232.800000001</v>
      </c>
      <c r="G23" s="6">
        <v>2.7E-2</v>
      </c>
      <c r="H23" s="1">
        <v>0.19</v>
      </c>
      <c r="I23" s="1"/>
    </row>
    <row r="24" spans="1:9" x14ac:dyDescent="0.3">
      <c r="A24" s="1" t="s">
        <v>14</v>
      </c>
      <c r="B24" s="1" t="s">
        <v>19</v>
      </c>
      <c r="C24" s="1" t="s">
        <v>16</v>
      </c>
      <c r="D24" s="1">
        <v>262144</v>
      </c>
      <c r="E24" s="3">
        <v>49.37</v>
      </c>
      <c r="F24" s="5">
        <v>20257244.600000001</v>
      </c>
      <c r="G24" s="6">
        <v>8.9999999999999993E-3</v>
      </c>
      <c r="H24" s="1">
        <v>0.12</v>
      </c>
      <c r="I24" s="1"/>
    </row>
    <row r="25" spans="1:9" x14ac:dyDescent="0.3">
      <c r="A25" s="1" t="s">
        <v>14</v>
      </c>
      <c r="B25" s="1" t="s">
        <v>19</v>
      </c>
      <c r="C25" s="1" t="s">
        <v>17</v>
      </c>
      <c r="D25" s="1">
        <v>262144</v>
      </c>
      <c r="E25" s="3">
        <v>53.83</v>
      </c>
      <c r="F25" s="5">
        <v>18576490.48</v>
      </c>
      <c r="G25" s="6">
        <v>1.2E-2</v>
      </c>
      <c r="H25" s="1">
        <v>0.13</v>
      </c>
      <c r="I25" s="1"/>
    </row>
    <row r="26" spans="1:9" x14ac:dyDescent="0.3">
      <c r="A26" s="1" t="s">
        <v>20</v>
      </c>
      <c r="B26" s="1" t="s">
        <v>15</v>
      </c>
      <c r="C26" s="1" t="s">
        <v>16</v>
      </c>
      <c r="D26" s="1">
        <v>4096</v>
      </c>
      <c r="E26" s="3">
        <v>20.309999999999999</v>
      </c>
      <c r="F26" s="5">
        <v>49235503.409999996</v>
      </c>
      <c r="G26" s="6">
        <v>3.3000000000000002E-2</v>
      </c>
      <c r="H26" s="1">
        <v>0</v>
      </c>
      <c r="I26" s="1"/>
    </row>
    <row r="27" spans="1:9" x14ac:dyDescent="0.3">
      <c r="A27" s="1" t="s">
        <v>20</v>
      </c>
      <c r="B27" s="1" t="s">
        <v>15</v>
      </c>
      <c r="C27" s="1" t="s">
        <v>17</v>
      </c>
      <c r="D27" s="1">
        <v>4096</v>
      </c>
      <c r="E27" s="3">
        <v>56.52</v>
      </c>
      <c r="F27" s="5">
        <v>17693610.260000002</v>
      </c>
      <c r="G27" s="6">
        <v>5.0000000000000001E-3</v>
      </c>
      <c r="H27" s="1">
        <v>0</v>
      </c>
      <c r="I27" s="1"/>
    </row>
    <row r="28" spans="1:9" x14ac:dyDescent="0.3">
      <c r="A28" s="1" t="s">
        <v>20</v>
      </c>
      <c r="B28" s="1" t="s">
        <v>18</v>
      </c>
      <c r="C28" s="1" t="s">
        <v>16</v>
      </c>
      <c r="D28" s="1">
        <v>4096</v>
      </c>
      <c r="E28" s="3">
        <v>23.25</v>
      </c>
      <c r="F28" s="5">
        <v>43011204.329999998</v>
      </c>
      <c r="G28" s="6">
        <v>3.4000000000000002E-2</v>
      </c>
      <c r="H28" s="1">
        <v>0</v>
      </c>
      <c r="I28" s="1"/>
    </row>
    <row r="29" spans="1:9" x14ac:dyDescent="0.3">
      <c r="A29" s="1" t="s">
        <v>20</v>
      </c>
      <c r="B29" s="1" t="s">
        <v>18</v>
      </c>
      <c r="C29" s="1" t="s">
        <v>17</v>
      </c>
      <c r="D29" s="1">
        <v>4096</v>
      </c>
      <c r="E29" s="3">
        <v>38.409999999999997</v>
      </c>
      <c r="F29" s="5">
        <v>26033787.989999998</v>
      </c>
      <c r="G29" s="6">
        <v>1.7000000000000001E-2</v>
      </c>
      <c r="H29" s="1">
        <v>0</v>
      </c>
      <c r="I29" s="1"/>
    </row>
    <row r="30" spans="1:9" x14ac:dyDescent="0.3">
      <c r="A30" s="1" t="s">
        <v>20</v>
      </c>
      <c r="B30" s="1" t="s">
        <v>19</v>
      </c>
      <c r="C30" s="1" t="s">
        <v>16</v>
      </c>
      <c r="D30" s="1">
        <v>4096</v>
      </c>
      <c r="E30" s="3">
        <v>25.28</v>
      </c>
      <c r="F30" s="5">
        <v>39562265.170000002</v>
      </c>
      <c r="G30" s="6">
        <v>6.6000000000000003E-2</v>
      </c>
      <c r="H30" s="1">
        <v>0</v>
      </c>
      <c r="I30" s="1" t="s">
        <v>39</v>
      </c>
    </row>
    <row r="31" spans="1:9" x14ac:dyDescent="0.3">
      <c r="A31" s="1" t="s">
        <v>20</v>
      </c>
      <c r="B31" s="1" t="s">
        <v>19</v>
      </c>
      <c r="C31" s="1" t="s">
        <v>17</v>
      </c>
      <c r="D31" s="1">
        <v>4096</v>
      </c>
      <c r="E31" s="3">
        <v>61.75</v>
      </c>
      <c r="F31" s="5">
        <v>16195228.42</v>
      </c>
      <c r="G31" s="6">
        <v>1.2999999999999999E-2</v>
      </c>
      <c r="H31" s="1">
        <v>0</v>
      </c>
      <c r="I31" s="1"/>
    </row>
    <row r="32" spans="1:9" x14ac:dyDescent="0.3">
      <c r="A32" s="1" t="s">
        <v>20</v>
      </c>
      <c r="B32" s="1" t="s">
        <v>15</v>
      </c>
      <c r="C32" s="1" t="s">
        <v>16</v>
      </c>
      <c r="D32" s="1">
        <v>16384</v>
      </c>
      <c r="E32" s="3">
        <v>24.47</v>
      </c>
      <c r="F32" s="5">
        <v>40865804.32</v>
      </c>
      <c r="G32" s="6">
        <v>8.3000000000000004E-2</v>
      </c>
      <c r="H32" s="1">
        <v>0</v>
      </c>
      <c r="I32" s="1" t="s">
        <v>39</v>
      </c>
    </row>
    <row r="33" spans="1:9" x14ac:dyDescent="0.3">
      <c r="A33" s="1" t="s">
        <v>20</v>
      </c>
      <c r="B33" s="1" t="s">
        <v>15</v>
      </c>
      <c r="C33" s="1" t="s">
        <v>17</v>
      </c>
      <c r="D33" s="1">
        <v>16384</v>
      </c>
      <c r="E33" s="3">
        <v>71.37</v>
      </c>
      <c r="F33" s="5">
        <v>14011993.66</v>
      </c>
      <c r="G33" s="6">
        <v>1.4999999999999999E-2</v>
      </c>
      <c r="H33" s="1">
        <v>0.01</v>
      </c>
      <c r="I33" s="1"/>
    </row>
    <row r="34" spans="1:9" x14ac:dyDescent="0.3">
      <c r="A34" s="1" t="s">
        <v>20</v>
      </c>
      <c r="B34" s="1" t="s">
        <v>18</v>
      </c>
      <c r="C34" s="1" t="s">
        <v>16</v>
      </c>
      <c r="D34" s="1">
        <v>16384</v>
      </c>
      <c r="E34" s="3">
        <v>29.42</v>
      </c>
      <c r="F34" s="5">
        <v>33985073.450000003</v>
      </c>
      <c r="G34" s="6">
        <v>3.1E-2</v>
      </c>
      <c r="H34" s="1">
        <v>0.01</v>
      </c>
      <c r="I34" s="1"/>
    </row>
    <row r="35" spans="1:9" x14ac:dyDescent="0.3">
      <c r="A35" s="1" t="s">
        <v>20</v>
      </c>
      <c r="B35" s="1" t="s">
        <v>18</v>
      </c>
      <c r="C35" s="1" t="s">
        <v>17</v>
      </c>
      <c r="D35" s="1">
        <v>16384</v>
      </c>
      <c r="E35" s="3">
        <v>58.61</v>
      </c>
      <c r="F35" s="5">
        <v>17061210.629999999</v>
      </c>
      <c r="G35" s="6">
        <v>2.1999999999999999E-2</v>
      </c>
      <c r="H35" s="1">
        <v>0.01</v>
      </c>
      <c r="I35" s="1"/>
    </row>
    <row r="36" spans="1:9" x14ac:dyDescent="0.3">
      <c r="A36" s="1" t="s">
        <v>20</v>
      </c>
      <c r="B36" s="1" t="s">
        <v>19</v>
      </c>
      <c r="C36" s="1" t="s">
        <v>16</v>
      </c>
      <c r="D36" s="1">
        <v>16384</v>
      </c>
      <c r="E36" s="3">
        <v>29.71</v>
      </c>
      <c r="F36" s="5">
        <v>33662963.549999997</v>
      </c>
      <c r="G36" s="6">
        <v>3.4000000000000002E-2</v>
      </c>
      <c r="H36" s="1">
        <v>0.01</v>
      </c>
      <c r="I36" s="1"/>
    </row>
    <row r="37" spans="1:9" x14ac:dyDescent="0.3">
      <c r="A37" s="1" t="s">
        <v>20</v>
      </c>
      <c r="B37" s="1" t="s">
        <v>19</v>
      </c>
      <c r="C37" s="1" t="s">
        <v>17</v>
      </c>
      <c r="D37" s="1">
        <v>16384</v>
      </c>
      <c r="E37" s="3">
        <v>79.36</v>
      </c>
      <c r="F37" s="5">
        <v>12601080.140000001</v>
      </c>
      <c r="G37" s="6">
        <v>7.0000000000000001E-3</v>
      </c>
      <c r="H37" s="1">
        <v>0.01</v>
      </c>
      <c r="I37" s="1"/>
    </row>
    <row r="38" spans="1:9" x14ac:dyDescent="0.3">
      <c r="A38" s="1" t="s">
        <v>20</v>
      </c>
      <c r="B38" s="1" t="s">
        <v>15</v>
      </c>
      <c r="C38" s="1" t="s">
        <v>16</v>
      </c>
      <c r="D38" s="1">
        <v>65536</v>
      </c>
      <c r="E38" s="3">
        <v>58.4</v>
      </c>
      <c r="F38" s="5">
        <v>17123835.300000001</v>
      </c>
      <c r="G38" s="6">
        <v>1.4999999999999999E-2</v>
      </c>
      <c r="H38" s="1">
        <v>0.03</v>
      </c>
      <c r="I38" s="1"/>
    </row>
    <row r="39" spans="1:9" x14ac:dyDescent="0.3">
      <c r="A39" s="1" t="s">
        <v>20</v>
      </c>
      <c r="B39" s="1" t="s">
        <v>15</v>
      </c>
      <c r="C39" s="1" t="s">
        <v>17</v>
      </c>
      <c r="D39" s="1">
        <v>65536</v>
      </c>
      <c r="E39" s="3">
        <v>95.4</v>
      </c>
      <c r="F39" s="5">
        <v>10482395.57</v>
      </c>
      <c r="G39" s="6">
        <v>6.0000000000000001E-3</v>
      </c>
      <c r="H39" s="1">
        <v>7.0000000000000007E-2</v>
      </c>
      <c r="I39" s="1"/>
    </row>
    <row r="40" spans="1:9" x14ac:dyDescent="0.3">
      <c r="A40" s="1" t="s">
        <v>20</v>
      </c>
      <c r="B40" s="1" t="s">
        <v>18</v>
      </c>
      <c r="C40" s="1" t="s">
        <v>16</v>
      </c>
      <c r="D40" s="1">
        <v>65536</v>
      </c>
      <c r="E40" s="3">
        <v>58.59</v>
      </c>
      <c r="F40" s="5">
        <v>17067675.620000001</v>
      </c>
      <c r="G40" s="6">
        <v>0.223</v>
      </c>
      <c r="H40" s="1">
        <v>0.04</v>
      </c>
      <c r="I40" s="1" t="s">
        <v>39</v>
      </c>
    </row>
    <row r="41" spans="1:9" x14ac:dyDescent="0.3">
      <c r="A41" s="1" t="s">
        <v>20</v>
      </c>
      <c r="B41" s="1" t="s">
        <v>18</v>
      </c>
      <c r="C41" s="1" t="s">
        <v>17</v>
      </c>
      <c r="D41" s="1">
        <v>65536</v>
      </c>
      <c r="E41" s="3">
        <v>105.25</v>
      </c>
      <c r="F41" s="5">
        <v>9500825.3900000006</v>
      </c>
      <c r="G41" s="6">
        <v>3.5000000000000003E-2</v>
      </c>
      <c r="H41" s="1">
        <v>7.0000000000000007E-2</v>
      </c>
      <c r="I41" s="1"/>
    </row>
    <row r="42" spans="1:9" x14ac:dyDescent="0.3">
      <c r="A42" s="1" t="s">
        <v>20</v>
      </c>
      <c r="B42" s="1" t="s">
        <v>19</v>
      </c>
      <c r="C42" s="1" t="s">
        <v>16</v>
      </c>
      <c r="D42" s="1">
        <v>65536</v>
      </c>
      <c r="E42" s="3">
        <v>32.619999999999997</v>
      </c>
      <c r="F42" s="5">
        <v>30656015.149999999</v>
      </c>
      <c r="G42" s="6">
        <v>1.6E-2</v>
      </c>
      <c r="H42" s="1">
        <v>0.04</v>
      </c>
      <c r="I42" s="1"/>
    </row>
    <row r="43" spans="1:9" x14ac:dyDescent="0.3">
      <c r="A43" s="1" t="s">
        <v>20</v>
      </c>
      <c r="B43" s="1" t="s">
        <v>19</v>
      </c>
      <c r="C43" s="1" t="s">
        <v>17</v>
      </c>
      <c r="D43" s="1">
        <v>65536</v>
      </c>
      <c r="E43" s="3">
        <v>124.09</v>
      </c>
      <c r="F43" s="5">
        <v>8058452.3099999996</v>
      </c>
      <c r="G43" s="6">
        <v>1.2999999999999999E-2</v>
      </c>
      <c r="H43" s="1">
        <v>0.09</v>
      </c>
      <c r="I43" s="1"/>
    </row>
    <row r="44" spans="1:9" x14ac:dyDescent="0.3">
      <c r="A44" s="1" t="s">
        <v>20</v>
      </c>
      <c r="B44" s="1" t="s">
        <v>15</v>
      </c>
      <c r="C44" s="1" t="s">
        <v>16</v>
      </c>
      <c r="D44" s="1">
        <v>262144</v>
      </c>
      <c r="E44" s="3">
        <v>77.34</v>
      </c>
      <c r="F44" s="5">
        <v>12929941.49</v>
      </c>
      <c r="G44" s="6">
        <v>8.7999999999999995E-2</v>
      </c>
      <c r="H44" s="1">
        <v>0.22</v>
      </c>
      <c r="I44" s="1" t="s">
        <v>39</v>
      </c>
    </row>
    <row r="45" spans="1:9" x14ac:dyDescent="0.3">
      <c r="A45" s="1" t="s">
        <v>20</v>
      </c>
      <c r="B45" s="1" t="s">
        <v>15</v>
      </c>
      <c r="C45" s="1" t="s">
        <v>17</v>
      </c>
      <c r="D45" s="1">
        <v>262144</v>
      </c>
      <c r="E45" s="3">
        <v>149.97999999999999</v>
      </c>
      <c r="F45" s="5">
        <v>6667628.79</v>
      </c>
      <c r="G45" s="6">
        <v>2.3E-2</v>
      </c>
      <c r="H45" s="1">
        <v>0.43</v>
      </c>
      <c r="I45" s="1"/>
    </row>
    <row r="46" spans="1:9" x14ac:dyDescent="0.3">
      <c r="A46" s="1" t="s">
        <v>20</v>
      </c>
      <c r="B46" s="1" t="s">
        <v>18</v>
      </c>
      <c r="C46" s="1" t="s">
        <v>16</v>
      </c>
      <c r="D46" s="1">
        <v>262144</v>
      </c>
      <c r="E46" s="3">
        <v>85.28</v>
      </c>
      <c r="F46" s="5">
        <v>11725562.859999999</v>
      </c>
      <c r="G46" s="6">
        <v>6.0999999999999999E-2</v>
      </c>
      <c r="H46" s="1">
        <v>0.24</v>
      </c>
      <c r="I46" s="1" t="s">
        <v>39</v>
      </c>
    </row>
    <row r="47" spans="1:9" x14ac:dyDescent="0.3">
      <c r="A47" s="1" t="s">
        <v>20</v>
      </c>
      <c r="B47" s="1" t="s">
        <v>18</v>
      </c>
      <c r="C47" s="1" t="s">
        <v>17</v>
      </c>
      <c r="D47" s="1">
        <v>262144</v>
      </c>
      <c r="E47" s="3">
        <v>187</v>
      </c>
      <c r="F47" s="5">
        <v>5347500.53</v>
      </c>
      <c r="G47" s="6">
        <v>3.5000000000000003E-2</v>
      </c>
      <c r="H47" s="1">
        <v>0.53</v>
      </c>
      <c r="I47" s="1"/>
    </row>
    <row r="48" spans="1:9" x14ac:dyDescent="0.3">
      <c r="A48" s="1" t="s">
        <v>20</v>
      </c>
      <c r="B48" s="1" t="s">
        <v>19</v>
      </c>
      <c r="C48" s="1" t="s">
        <v>16</v>
      </c>
      <c r="D48" s="1">
        <v>262144</v>
      </c>
      <c r="E48" s="3">
        <v>45.02</v>
      </c>
      <c r="F48" s="5">
        <v>22213441.530000001</v>
      </c>
      <c r="G48" s="6">
        <v>0.09</v>
      </c>
      <c r="H48" s="1">
        <v>0.22</v>
      </c>
      <c r="I48" s="1" t="s">
        <v>39</v>
      </c>
    </row>
    <row r="49" spans="1:9" x14ac:dyDescent="0.3">
      <c r="A49" s="1" t="s">
        <v>20</v>
      </c>
      <c r="B49" s="1" t="s">
        <v>19</v>
      </c>
      <c r="C49" s="1" t="s">
        <v>17</v>
      </c>
      <c r="D49" s="1">
        <v>262144</v>
      </c>
      <c r="E49" s="3">
        <v>184.46</v>
      </c>
      <c r="F49" s="5">
        <v>5421160.9500000002</v>
      </c>
      <c r="G49" s="6">
        <v>3.0000000000000001E-3</v>
      </c>
      <c r="H49" s="1">
        <v>0.53</v>
      </c>
      <c r="I49" s="1"/>
    </row>
    <row r="50" spans="1:9" x14ac:dyDescent="0.3">
      <c r="A50" s="1" t="s">
        <v>21</v>
      </c>
      <c r="B50" s="1" t="s">
        <v>15</v>
      </c>
      <c r="C50" s="1" t="s">
        <v>16</v>
      </c>
      <c r="D50" s="1">
        <v>4096</v>
      </c>
      <c r="E50" s="3">
        <v>16.920000000000002</v>
      </c>
      <c r="F50" s="5">
        <v>59086581.460000001</v>
      </c>
      <c r="G50" s="6">
        <v>1.7999999999999999E-2</v>
      </c>
      <c r="H50" s="1">
        <v>0</v>
      </c>
      <c r="I50" s="1"/>
    </row>
    <row r="51" spans="1:9" x14ac:dyDescent="0.3">
      <c r="A51" s="1" t="s">
        <v>21</v>
      </c>
      <c r="B51" s="1" t="s">
        <v>15</v>
      </c>
      <c r="C51" s="1" t="s">
        <v>17</v>
      </c>
      <c r="D51" s="1">
        <v>4096</v>
      </c>
      <c r="E51" s="3">
        <v>61.92</v>
      </c>
      <c r="F51" s="5">
        <v>16149127.1</v>
      </c>
      <c r="G51" s="6">
        <v>3.3000000000000002E-2</v>
      </c>
      <c r="H51" s="1">
        <v>0</v>
      </c>
      <c r="I51" s="1"/>
    </row>
    <row r="52" spans="1:9" x14ac:dyDescent="0.3">
      <c r="A52" s="1" t="s">
        <v>21</v>
      </c>
      <c r="B52" s="1" t="s">
        <v>18</v>
      </c>
      <c r="C52" s="1" t="s">
        <v>16</v>
      </c>
      <c r="D52" s="1">
        <v>4096</v>
      </c>
      <c r="E52" s="3">
        <v>14.94</v>
      </c>
      <c r="F52" s="5">
        <v>66925917.450000003</v>
      </c>
      <c r="G52" s="6">
        <v>7.9000000000000001E-2</v>
      </c>
      <c r="H52" s="1">
        <v>0</v>
      </c>
      <c r="I52" s="1" t="s">
        <v>39</v>
      </c>
    </row>
    <row r="53" spans="1:9" x14ac:dyDescent="0.3">
      <c r="A53" s="1" t="s">
        <v>21</v>
      </c>
      <c r="B53" s="1" t="s">
        <v>18</v>
      </c>
      <c r="C53" s="1" t="s">
        <v>17</v>
      </c>
      <c r="D53" s="1">
        <v>4096</v>
      </c>
      <c r="E53" s="3">
        <v>38.28</v>
      </c>
      <c r="F53" s="5">
        <v>26124948.18</v>
      </c>
      <c r="G53" s="6">
        <v>0.02</v>
      </c>
      <c r="H53" s="1">
        <v>0</v>
      </c>
      <c r="I53" s="1"/>
    </row>
    <row r="54" spans="1:9" x14ac:dyDescent="0.3">
      <c r="A54" s="1" t="s">
        <v>21</v>
      </c>
      <c r="B54" s="1" t="s">
        <v>19</v>
      </c>
      <c r="C54" s="1" t="s">
        <v>16</v>
      </c>
      <c r="D54" s="1">
        <v>4096</v>
      </c>
      <c r="E54" s="3">
        <v>20.64</v>
      </c>
      <c r="F54" s="5">
        <v>48459609.109999999</v>
      </c>
      <c r="G54" s="6">
        <v>1.6E-2</v>
      </c>
      <c r="H54" s="1">
        <v>0</v>
      </c>
      <c r="I54" s="1"/>
    </row>
    <row r="55" spans="1:9" x14ac:dyDescent="0.3">
      <c r="A55" s="1" t="s">
        <v>21</v>
      </c>
      <c r="B55" s="1" t="s">
        <v>19</v>
      </c>
      <c r="C55" s="1" t="s">
        <v>17</v>
      </c>
      <c r="D55" s="1">
        <v>4096</v>
      </c>
      <c r="E55" s="3">
        <v>61.84</v>
      </c>
      <c r="F55" s="5">
        <v>16171953.35</v>
      </c>
      <c r="G55" s="6">
        <v>3.1E-2</v>
      </c>
      <c r="H55" s="1">
        <v>0</v>
      </c>
      <c r="I55" s="1"/>
    </row>
    <row r="56" spans="1:9" x14ac:dyDescent="0.3">
      <c r="A56" s="1" t="s">
        <v>21</v>
      </c>
      <c r="B56" s="1" t="s">
        <v>15</v>
      </c>
      <c r="C56" s="1" t="s">
        <v>16</v>
      </c>
      <c r="D56" s="1">
        <v>16384</v>
      </c>
      <c r="E56" s="3">
        <v>18.13</v>
      </c>
      <c r="F56" s="5">
        <v>55145116.07</v>
      </c>
      <c r="G56" s="6">
        <v>7.8E-2</v>
      </c>
      <c r="H56" s="1">
        <v>0</v>
      </c>
      <c r="I56" s="1" t="s">
        <v>39</v>
      </c>
    </row>
    <row r="57" spans="1:9" x14ac:dyDescent="0.3">
      <c r="A57" s="1" t="s">
        <v>21</v>
      </c>
      <c r="B57" s="1" t="s">
        <v>15</v>
      </c>
      <c r="C57" s="1" t="s">
        <v>17</v>
      </c>
      <c r="D57" s="1">
        <v>16384</v>
      </c>
      <c r="E57" s="3">
        <v>81.28</v>
      </c>
      <c r="F57" s="5">
        <v>12303154.41</v>
      </c>
      <c r="G57" s="6">
        <v>1.2999999999999999E-2</v>
      </c>
      <c r="H57" s="1">
        <v>0.01</v>
      </c>
      <c r="I57" s="1"/>
    </row>
    <row r="58" spans="1:9" x14ac:dyDescent="0.3">
      <c r="A58" s="1" t="s">
        <v>21</v>
      </c>
      <c r="B58" s="1" t="s">
        <v>18</v>
      </c>
      <c r="C58" s="1" t="s">
        <v>16</v>
      </c>
      <c r="D58" s="1">
        <v>16384</v>
      </c>
      <c r="E58" s="3">
        <v>18.079999999999998</v>
      </c>
      <c r="F58" s="5">
        <v>55298481.520000003</v>
      </c>
      <c r="G58" s="6">
        <v>7.0000000000000007E-2</v>
      </c>
      <c r="H58" s="1">
        <v>0</v>
      </c>
      <c r="I58" s="1" t="s">
        <v>39</v>
      </c>
    </row>
    <row r="59" spans="1:9" x14ac:dyDescent="0.3">
      <c r="A59" s="1" t="s">
        <v>21</v>
      </c>
      <c r="B59" s="1" t="s">
        <v>18</v>
      </c>
      <c r="C59" s="1" t="s">
        <v>17</v>
      </c>
      <c r="D59" s="1">
        <v>16384</v>
      </c>
      <c r="E59" s="3">
        <v>53.7</v>
      </c>
      <c r="F59" s="5">
        <v>18621631.050000001</v>
      </c>
      <c r="G59" s="6">
        <v>1.9E-2</v>
      </c>
      <c r="H59" s="1">
        <v>0.01</v>
      </c>
      <c r="I59" s="1"/>
    </row>
    <row r="60" spans="1:9" x14ac:dyDescent="0.3">
      <c r="A60" s="1" t="s">
        <v>21</v>
      </c>
      <c r="B60" s="1" t="s">
        <v>19</v>
      </c>
      <c r="C60" s="1" t="s">
        <v>16</v>
      </c>
      <c r="D60" s="1">
        <v>16384</v>
      </c>
      <c r="E60" s="3">
        <v>23.73</v>
      </c>
      <c r="F60" s="5">
        <v>42141435.130000003</v>
      </c>
      <c r="G60" s="6">
        <v>1.7999999999999999E-2</v>
      </c>
      <c r="H60" s="1">
        <v>0</v>
      </c>
      <c r="I60" s="1"/>
    </row>
    <row r="61" spans="1:9" x14ac:dyDescent="0.3">
      <c r="A61" s="1" t="s">
        <v>21</v>
      </c>
      <c r="B61" s="1" t="s">
        <v>19</v>
      </c>
      <c r="C61" s="1" t="s">
        <v>17</v>
      </c>
      <c r="D61" s="1">
        <v>16384</v>
      </c>
      <c r="E61" s="3">
        <v>80.55</v>
      </c>
      <c r="F61" s="5">
        <v>12415328.51</v>
      </c>
      <c r="G61" s="6">
        <v>1.9E-2</v>
      </c>
      <c r="H61" s="1">
        <v>0.01</v>
      </c>
      <c r="I61" s="1"/>
    </row>
    <row r="62" spans="1:9" x14ac:dyDescent="0.3">
      <c r="A62" s="1" t="s">
        <v>21</v>
      </c>
      <c r="B62" s="1" t="s">
        <v>15</v>
      </c>
      <c r="C62" s="1" t="s">
        <v>16</v>
      </c>
      <c r="D62" s="1">
        <v>65536</v>
      </c>
      <c r="E62" s="3">
        <v>19.71</v>
      </c>
      <c r="F62" s="5">
        <v>50726892.469999999</v>
      </c>
      <c r="G62" s="6">
        <v>4.2000000000000003E-2</v>
      </c>
      <c r="H62" s="1">
        <v>0.01</v>
      </c>
      <c r="I62" s="1"/>
    </row>
    <row r="63" spans="1:9" x14ac:dyDescent="0.3">
      <c r="A63" s="1" t="s">
        <v>21</v>
      </c>
      <c r="B63" s="1" t="s">
        <v>15</v>
      </c>
      <c r="C63" s="1" t="s">
        <v>17</v>
      </c>
      <c r="D63" s="1">
        <v>65536</v>
      </c>
      <c r="E63" s="3">
        <v>119.1</v>
      </c>
      <c r="F63" s="5">
        <v>8396041.6500000004</v>
      </c>
      <c r="G63" s="6">
        <v>1.4E-2</v>
      </c>
      <c r="H63" s="1">
        <v>0.09</v>
      </c>
      <c r="I63" s="1"/>
    </row>
    <row r="64" spans="1:9" x14ac:dyDescent="0.3">
      <c r="A64" s="1" t="s">
        <v>21</v>
      </c>
      <c r="B64" s="1" t="s">
        <v>18</v>
      </c>
      <c r="C64" s="1" t="s">
        <v>16</v>
      </c>
      <c r="D64" s="1">
        <v>65536</v>
      </c>
      <c r="E64" s="3">
        <v>28.45</v>
      </c>
      <c r="F64" s="5">
        <v>35145995.640000001</v>
      </c>
      <c r="G64" s="6">
        <v>6.9000000000000006E-2</v>
      </c>
      <c r="H64" s="1">
        <v>0.02</v>
      </c>
      <c r="I64" s="1" t="s">
        <v>39</v>
      </c>
    </row>
    <row r="65" spans="1:9" x14ac:dyDescent="0.3">
      <c r="A65" s="1" t="s">
        <v>21</v>
      </c>
      <c r="B65" s="1" t="s">
        <v>18</v>
      </c>
      <c r="C65" s="1" t="s">
        <v>17</v>
      </c>
      <c r="D65" s="1">
        <v>65536</v>
      </c>
      <c r="E65" s="3">
        <v>93.48</v>
      </c>
      <c r="F65" s="5">
        <v>10697835.6</v>
      </c>
      <c r="G65" s="6">
        <v>0.02</v>
      </c>
      <c r="H65" s="1">
        <v>7.0000000000000007E-2</v>
      </c>
      <c r="I65" s="1"/>
    </row>
    <row r="66" spans="1:9" x14ac:dyDescent="0.3">
      <c r="A66" s="1" t="s">
        <v>21</v>
      </c>
      <c r="B66" s="1" t="s">
        <v>19</v>
      </c>
      <c r="C66" s="1" t="s">
        <v>16</v>
      </c>
      <c r="D66" s="1">
        <v>65536</v>
      </c>
      <c r="E66" s="3">
        <v>29.7</v>
      </c>
      <c r="F66" s="5">
        <v>33673289.549999997</v>
      </c>
      <c r="G66" s="6">
        <v>1.4999999999999999E-2</v>
      </c>
      <c r="H66" s="1">
        <v>0.02</v>
      </c>
      <c r="I66" s="1"/>
    </row>
    <row r="67" spans="1:9" x14ac:dyDescent="0.3">
      <c r="A67" s="1" t="s">
        <v>21</v>
      </c>
      <c r="B67" s="1" t="s">
        <v>19</v>
      </c>
      <c r="C67" s="1" t="s">
        <v>17</v>
      </c>
      <c r="D67" s="1">
        <v>65536</v>
      </c>
      <c r="E67" s="3">
        <v>123.64</v>
      </c>
      <c r="F67" s="5">
        <v>8088086.29</v>
      </c>
      <c r="G67" s="6">
        <v>0.01</v>
      </c>
      <c r="H67" s="1">
        <v>0.09</v>
      </c>
      <c r="I67" s="1"/>
    </row>
    <row r="68" spans="1:9" x14ac:dyDescent="0.3">
      <c r="A68" s="1" t="s">
        <v>21</v>
      </c>
      <c r="B68" s="1" t="s">
        <v>15</v>
      </c>
      <c r="C68" s="1" t="s">
        <v>16</v>
      </c>
      <c r="D68" s="1">
        <v>262144</v>
      </c>
      <c r="E68" s="3">
        <v>24.7</v>
      </c>
      <c r="F68" s="5">
        <v>40483327.789999999</v>
      </c>
      <c r="G68" s="6">
        <v>8.2000000000000003E-2</v>
      </c>
      <c r="H68" s="1">
        <v>7.0000000000000007E-2</v>
      </c>
      <c r="I68" s="1" t="s">
        <v>39</v>
      </c>
    </row>
    <row r="69" spans="1:9" x14ac:dyDescent="0.3">
      <c r="A69" s="1" t="s">
        <v>21</v>
      </c>
      <c r="B69" s="1" t="s">
        <v>15</v>
      </c>
      <c r="C69" s="1" t="s">
        <v>17</v>
      </c>
      <c r="D69" s="1">
        <v>262144</v>
      </c>
      <c r="E69" s="3">
        <v>204.81</v>
      </c>
      <c r="F69" s="5">
        <v>4882544.32</v>
      </c>
      <c r="G69" s="6">
        <v>1.9E-2</v>
      </c>
      <c r="H69" s="1">
        <v>0.59</v>
      </c>
      <c r="I69" s="1"/>
    </row>
    <row r="70" spans="1:9" x14ac:dyDescent="0.3">
      <c r="A70" s="1" t="s">
        <v>21</v>
      </c>
      <c r="B70" s="1" t="s">
        <v>18</v>
      </c>
      <c r="C70" s="1" t="s">
        <v>16</v>
      </c>
      <c r="D70" s="1">
        <v>262144</v>
      </c>
      <c r="E70" s="3">
        <v>40.22</v>
      </c>
      <c r="F70" s="5">
        <v>24865432.859999999</v>
      </c>
      <c r="G70" s="6">
        <v>3.4000000000000002E-2</v>
      </c>
      <c r="H70" s="1">
        <v>0.11</v>
      </c>
      <c r="I70" s="1"/>
    </row>
    <row r="71" spans="1:9" x14ac:dyDescent="0.3">
      <c r="A71" s="1" t="s">
        <v>21</v>
      </c>
      <c r="B71" s="1" t="s">
        <v>18</v>
      </c>
      <c r="C71" s="1" t="s">
        <v>17</v>
      </c>
      <c r="D71" s="1">
        <v>262144</v>
      </c>
      <c r="E71" s="3">
        <v>181.12</v>
      </c>
      <c r="F71" s="5">
        <v>5521198.7699999996</v>
      </c>
      <c r="G71" s="6">
        <v>2.3E-2</v>
      </c>
      <c r="H71" s="1">
        <v>0.51</v>
      </c>
      <c r="I71" s="1"/>
    </row>
    <row r="72" spans="1:9" x14ac:dyDescent="0.3">
      <c r="A72" s="1" t="s">
        <v>21</v>
      </c>
      <c r="B72" s="1" t="s">
        <v>19</v>
      </c>
      <c r="C72" s="1" t="s">
        <v>16</v>
      </c>
      <c r="D72" s="1">
        <v>262144</v>
      </c>
      <c r="E72" s="3">
        <v>32.630000000000003</v>
      </c>
      <c r="F72" s="5">
        <v>30650656.48</v>
      </c>
      <c r="G72" s="6">
        <v>2.9000000000000001E-2</v>
      </c>
      <c r="H72" s="1">
        <v>0.09</v>
      </c>
      <c r="I72" s="1"/>
    </row>
    <row r="73" spans="1:9" x14ac:dyDescent="0.3">
      <c r="A73" s="1" t="s">
        <v>21</v>
      </c>
      <c r="B73" s="1" t="s">
        <v>19</v>
      </c>
      <c r="C73" s="1" t="s">
        <v>17</v>
      </c>
      <c r="D73" s="1">
        <v>262144</v>
      </c>
      <c r="E73" s="3">
        <v>211.74</v>
      </c>
      <c r="F73" s="5">
        <v>4722669.46</v>
      </c>
      <c r="G73" s="6">
        <v>6.0000000000000001E-3</v>
      </c>
      <c r="H73" s="1">
        <v>0.61</v>
      </c>
      <c r="I7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3"/>
  <sheetViews>
    <sheetView zoomScaleNormal="100" workbookViewId="0">
      <pane ySplit="1" topLeftCell="A44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8" customWidth="1"/>
    <col min="4" max="4" width="9" customWidth="1"/>
    <col min="5" max="5" width="10" customWidth="1"/>
    <col min="6" max="6" width="14" customWidth="1"/>
    <col min="7" max="7" width="8" customWidth="1"/>
    <col min="8" max="9" width="10" customWidth="1"/>
  </cols>
  <sheetData>
    <row r="1" spans="1:9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spans="1:9" x14ac:dyDescent="0.3">
      <c r="A2" s="1" t="s">
        <v>14</v>
      </c>
      <c r="B2" s="1" t="s">
        <v>15</v>
      </c>
      <c r="C2" s="1" t="s">
        <v>16</v>
      </c>
      <c r="D2" s="1">
        <v>4096</v>
      </c>
      <c r="E2" s="3">
        <v>47.6</v>
      </c>
      <c r="F2" s="5">
        <v>21006644.91</v>
      </c>
      <c r="G2" s="6">
        <v>0.01</v>
      </c>
      <c r="H2" s="1">
        <v>0.12</v>
      </c>
      <c r="I2" s="1"/>
    </row>
    <row r="3" spans="1:9" x14ac:dyDescent="0.3">
      <c r="A3" s="1" t="s">
        <v>14</v>
      </c>
      <c r="B3" s="1" t="s">
        <v>15</v>
      </c>
      <c r="C3" s="1" t="s">
        <v>17</v>
      </c>
      <c r="D3" s="1">
        <v>4096</v>
      </c>
      <c r="E3" s="3">
        <v>41.19</v>
      </c>
      <c r="F3" s="5">
        <v>24280470.859999999</v>
      </c>
      <c r="G3" s="6">
        <v>8.0000000000000002E-3</v>
      </c>
      <c r="H3" s="1">
        <v>0.1</v>
      </c>
      <c r="I3" s="1"/>
    </row>
    <row r="4" spans="1:9" x14ac:dyDescent="0.3">
      <c r="A4" s="1" t="s">
        <v>14</v>
      </c>
      <c r="B4" s="1" t="s">
        <v>18</v>
      </c>
      <c r="C4" s="1" t="s">
        <v>16</v>
      </c>
      <c r="D4" s="1">
        <v>4096</v>
      </c>
      <c r="E4" s="3">
        <v>13.12</v>
      </c>
      <c r="F4" s="5">
        <v>76193428.719999999</v>
      </c>
      <c r="G4" s="6">
        <v>1.7000000000000001E-2</v>
      </c>
      <c r="H4" s="1">
        <v>0.03</v>
      </c>
      <c r="I4" s="1"/>
    </row>
    <row r="5" spans="1:9" x14ac:dyDescent="0.3">
      <c r="A5" s="1" t="s">
        <v>14</v>
      </c>
      <c r="B5" s="1" t="s">
        <v>18</v>
      </c>
      <c r="C5" s="1" t="s">
        <v>17</v>
      </c>
      <c r="D5" s="1">
        <v>4096</v>
      </c>
      <c r="E5" s="3">
        <v>12.49</v>
      </c>
      <c r="F5" s="5">
        <v>80075966.159999996</v>
      </c>
      <c r="G5" s="6">
        <v>8.0000000000000002E-3</v>
      </c>
      <c r="H5" s="1">
        <v>0.03</v>
      </c>
      <c r="I5" s="1"/>
    </row>
    <row r="6" spans="1:9" x14ac:dyDescent="0.3">
      <c r="A6" s="1" t="s">
        <v>14</v>
      </c>
      <c r="B6" s="1" t="s">
        <v>19</v>
      </c>
      <c r="C6" s="1" t="s">
        <v>16</v>
      </c>
      <c r="D6" s="1">
        <v>4096</v>
      </c>
      <c r="E6" s="3">
        <v>9.9499999999999993</v>
      </c>
      <c r="F6" s="5">
        <v>100488044.63</v>
      </c>
      <c r="G6" s="6">
        <v>1.4E-2</v>
      </c>
      <c r="H6" s="1">
        <v>0.02</v>
      </c>
      <c r="I6" s="1"/>
    </row>
    <row r="7" spans="1:9" x14ac:dyDescent="0.3">
      <c r="A7" s="1" t="s">
        <v>14</v>
      </c>
      <c r="B7" s="1" t="s">
        <v>19</v>
      </c>
      <c r="C7" s="1" t="s">
        <v>17</v>
      </c>
      <c r="D7" s="1">
        <v>4096</v>
      </c>
      <c r="E7" s="3">
        <v>11.73</v>
      </c>
      <c r="F7" s="5">
        <v>85264274.489999995</v>
      </c>
      <c r="G7" s="6">
        <v>1.4E-2</v>
      </c>
      <c r="H7" s="1">
        <v>0.03</v>
      </c>
      <c r="I7" s="1"/>
    </row>
    <row r="8" spans="1:9" x14ac:dyDescent="0.3">
      <c r="A8" s="1" t="s">
        <v>14</v>
      </c>
      <c r="B8" s="1" t="s">
        <v>15</v>
      </c>
      <c r="C8" s="1" t="s">
        <v>16</v>
      </c>
      <c r="D8" s="1">
        <v>16384</v>
      </c>
      <c r="E8" s="3">
        <v>66.599999999999994</v>
      </c>
      <c r="F8" s="5">
        <v>15015169.67</v>
      </c>
      <c r="G8" s="6">
        <v>6.0000000000000001E-3</v>
      </c>
      <c r="H8" s="1">
        <v>0.15</v>
      </c>
      <c r="I8" s="1"/>
    </row>
    <row r="9" spans="1:9" x14ac:dyDescent="0.3">
      <c r="A9" s="1" t="s">
        <v>14</v>
      </c>
      <c r="B9" s="1" t="s">
        <v>15</v>
      </c>
      <c r="C9" s="1" t="s">
        <v>17</v>
      </c>
      <c r="D9" s="1">
        <v>16384</v>
      </c>
      <c r="E9" s="3">
        <v>59.5</v>
      </c>
      <c r="F9" s="5">
        <v>16805410.719999999</v>
      </c>
      <c r="G9" s="6">
        <v>1.4999999999999999E-2</v>
      </c>
      <c r="H9" s="1">
        <v>0.14000000000000001</v>
      </c>
      <c r="I9" s="1"/>
    </row>
    <row r="10" spans="1:9" x14ac:dyDescent="0.3">
      <c r="A10" s="1" t="s">
        <v>14</v>
      </c>
      <c r="B10" s="1" t="s">
        <v>18</v>
      </c>
      <c r="C10" s="1" t="s">
        <v>16</v>
      </c>
      <c r="D10" s="1">
        <v>16384</v>
      </c>
      <c r="E10" s="3">
        <v>26.61</v>
      </c>
      <c r="F10" s="5">
        <v>37574108.939999998</v>
      </c>
      <c r="G10" s="6">
        <v>8.0000000000000002E-3</v>
      </c>
      <c r="H10" s="1">
        <v>0.06</v>
      </c>
      <c r="I10" s="1"/>
    </row>
    <row r="11" spans="1:9" x14ac:dyDescent="0.3">
      <c r="A11" s="1" t="s">
        <v>14</v>
      </c>
      <c r="B11" s="1" t="s">
        <v>18</v>
      </c>
      <c r="C11" s="1" t="s">
        <v>17</v>
      </c>
      <c r="D11" s="1">
        <v>16384</v>
      </c>
      <c r="E11" s="3">
        <v>23.83</v>
      </c>
      <c r="F11" s="5">
        <v>41955644.700000003</v>
      </c>
      <c r="G11" s="6">
        <v>1.6E-2</v>
      </c>
      <c r="H11" s="1">
        <v>0.06</v>
      </c>
      <c r="I11" s="1"/>
    </row>
    <row r="12" spans="1:9" x14ac:dyDescent="0.3">
      <c r="A12" s="1" t="s">
        <v>14</v>
      </c>
      <c r="B12" s="1" t="s">
        <v>19</v>
      </c>
      <c r="C12" s="1" t="s">
        <v>16</v>
      </c>
      <c r="D12" s="1">
        <v>16384</v>
      </c>
      <c r="E12" s="3">
        <v>17.89</v>
      </c>
      <c r="F12" s="5">
        <v>55900531.920000002</v>
      </c>
      <c r="G12" s="6">
        <v>6.0000000000000001E-3</v>
      </c>
      <c r="H12" s="1">
        <v>0.04</v>
      </c>
      <c r="I12" s="1"/>
    </row>
    <row r="13" spans="1:9" x14ac:dyDescent="0.3">
      <c r="A13" s="1" t="s">
        <v>14</v>
      </c>
      <c r="B13" s="1" t="s">
        <v>19</v>
      </c>
      <c r="C13" s="1" t="s">
        <v>17</v>
      </c>
      <c r="D13" s="1">
        <v>16384</v>
      </c>
      <c r="E13" s="3">
        <v>21.44</v>
      </c>
      <c r="F13" s="5">
        <v>46635794.799999997</v>
      </c>
      <c r="G13" s="6">
        <v>8.0000000000000002E-3</v>
      </c>
      <c r="H13" s="1">
        <v>0.05</v>
      </c>
      <c r="I13" s="1"/>
    </row>
    <row r="14" spans="1:9" x14ac:dyDescent="0.3">
      <c r="A14" s="1" t="s">
        <v>14</v>
      </c>
      <c r="B14" s="1" t="s">
        <v>15</v>
      </c>
      <c r="C14" s="1" t="s">
        <v>16</v>
      </c>
      <c r="D14" s="1">
        <v>65536</v>
      </c>
      <c r="E14" s="3">
        <v>99.98</v>
      </c>
      <c r="F14" s="5">
        <v>10002489.310000001</v>
      </c>
      <c r="G14" s="6">
        <v>4.0000000000000001E-3</v>
      </c>
      <c r="H14" s="1">
        <v>0.24</v>
      </c>
      <c r="I14" s="1"/>
    </row>
    <row r="15" spans="1:9" x14ac:dyDescent="0.3">
      <c r="A15" s="1" t="s">
        <v>14</v>
      </c>
      <c r="B15" s="1" t="s">
        <v>15</v>
      </c>
      <c r="C15" s="1" t="s">
        <v>17</v>
      </c>
      <c r="D15" s="1">
        <v>65536</v>
      </c>
      <c r="E15" s="3">
        <v>96.57</v>
      </c>
      <c r="F15" s="5">
        <v>10355302.93</v>
      </c>
      <c r="G15" s="6">
        <v>6.0000000000000001E-3</v>
      </c>
      <c r="H15" s="1">
        <v>0.23</v>
      </c>
      <c r="I15" s="1"/>
    </row>
    <row r="16" spans="1:9" x14ac:dyDescent="0.3">
      <c r="A16" s="1" t="s">
        <v>14</v>
      </c>
      <c r="B16" s="1" t="s">
        <v>18</v>
      </c>
      <c r="C16" s="1" t="s">
        <v>16</v>
      </c>
      <c r="D16" s="1">
        <v>65536</v>
      </c>
      <c r="E16" s="3">
        <v>39.74</v>
      </c>
      <c r="F16" s="5">
        <v>25165614.23</v>
      </c>
      <c r="G16" s="6">
        <v>4.0000000000000001E-3</v>
      </c>
      <c r="H16" s="1">
        <v>0.1</v>
      </c>
      <c r="I16" s="1"/>
    </row>
    <row r="17" spans="1:9" x14ac:dyDescent="0.3">
      <c r="A17" s="1" t="s">
        <v>14</v>
      </c>
      <c r="B17" s="1" t="s">
        <v>18</v>
      </c>
      <c r="C17" s="1" t="s">
        <v>17</v>
      </c>
      <c r="D17" s="1">
        <v>65536</v>
      </c>
      <c r="E17" s="3">
        <v>36.619999999999997</v>
      </c>
      <c r="F17" s="5">
        <v>27304076.190000001</v>
      </c>
      <c r="G17" s="6">
        <v>8.9999999999999993E-3</v>
      </c>
      <c r="H17" s="1">
        <v>0.09</v>
      </c>
      <c r="I17" s="1"/>
    </row>
    <row r="18" spans="1:9" x14ac:dyDescent="0.3">
      <c r="A18" s="1" t="s">
        <v>14</v>
      </c>
      <c r="B18" s="1" t="s">
        <v>19</v>
      </c>
      <c r="C18" s="1" t="s">
        <v>16</v>
      </c>
      <c r="D18" s="1">
        <v>65536</v>
      </c>
      <c r="E18" s="3">
        <v>26.59</v>
      </c>
      <c r="F18" s="5">
        <v>37606553.600000001</v>
      </c>
      <c r="G18" s="6">
        <v>1.2999999999999999E-2</v>
      </c>
      <c r="H18" s="1">
        <v>0.06</v>
      </c>
      <c r="I18" s="1"/>
    </row>
    <row r="19" spans="1:9" x14ac:dyDescent="0.3">
      <c r="A19" s="1" t="s">
        <v>14</v>
      </c>
      <c r="B19" s="1" t="s">
        <v>19</v>
      </c>
      <c r="C19" s="1" t="s">
        <v>17</v>
      </c>
      <c r="D19" s="1">
        <v>65536</v>
      </c>
      <c r="E19" s="3">
        <v>29.92</v>
      </c>
      <c r="F19" s="5">
        <v>33418494.609999999</v>
      </c>
      <c r="G19" s="6">
        <v>6.0000000000000001E-3</v>
      </c>
      <c r="H19" s="1">
        <v>7.0000000000000007E-2</v>
      </c>
      <c r="I19" s="1"/>
    </row>
    <row r="20" spans="1:9" x14ac:dyDescent="0.3">
      <c r="A20" s="1" t="s">
        <v>14</v>
      </c>
      <c r="B20" s="1" t="s">
        <v>15</v>
      </c>
      <c r="C20" s="1" t="s">
        <v>16</v>
      </c>
      <c r="D20" s="1">
        <v>262144</v>
      </c>
      <c r="E20" s="3">
        <v>185.96</v>
      </c>
      <c r="F20" s="5">
        <v>5377542.29</v>
      </c>
      <c r="G20" s="6">
        <v>1.2E-2</v>
      </c>
      <c r="H20" s="1">
        <v>0.46</v>
      </c>
      <c r="I20" s="1"/>
    </row>
    <row r="21" spans="1:9" x14ac:dyDescent="0.3">
      <c r="A21" s="1" t="s">
        <v>14</v>
      </c>
      <c r="B21" s="1" t="s">
        <v>15</v>
      </c>
      <c r="C21" s="1" t="s">
        <v>17</v>
      </c>
      <c r="D21" s="1">
        <v>262144</v>
      </c>
      <c r="E21" s="3">
        <v>182.63</v>
      </c>
      <c r="F21" s="5">
        <v>5475523.5</v>
      </c>
      <c r="G21" s="6">
        <v>0.02</v>
      </c>
      <c r="H21" s="1">
        <v>0.44</v>
      </c>
      <c r="I21" s="1"/>
    </row>
    <row r="22" spans="1:9" x14ac:dyDescent="0.3">
      <c r="A22" s="1" t="s">
        <v>14</v>
      </c>
      <c r="B22" s="1" t="s">
        <v>18</v>
      </c>
      <c r="C22" s="1" t="s">
        <v>16</v>
      </c>
      <c r="D22" s="1">
        <v>262144</v>
      </c>
      <c r="E22" s="3">
        <v>78.84</v>
      </c>
      <c r="F22" s="5">
        <v>12683336.300000001</v>
      </c>
      <c r="G22" s="6">
        <v>1.0999999999999999E-2</v>
      </c>
      <c r="H22" s="1">
        <v>0.19</v>
      </c>
      <c r="I22" s="1"/>
    </row>
    <row r="23" spans="1:9" x14ac:dyDescent="0.3">
      <c r="A23" s="1" t="s">
        <v>14</v>
      </c>
      <c r="B23" s="1" t="s">
        <v>18</v>
      </c>
      <c r="C23" s="1" t="s">
        <v>17</v>
      </c>
      <c r="D23" s="1">
        <v>262144</v>
      </c>
      <c r="E23" s="3">
        <v>74.56</v>
      </c>
      <c r="F23" s="5">
        <v>13411999.560000001</v>
      </c>
      <c r="G23" s="6">
        <v>1.6E-2</v>
      </c>
      <c r="H23" s="1">
        <v>0.18</v>
      </c>
      <c r="I23" s="1"/>
    </row>
    <row r="24" spans="1:9" x14ac:dyDescent="0.3">
      <c r="A24" s="1" t="s">
        <v>14</v>
      </c>
      <c r="B24" s="1" t="s">
        <v>19</v>
      </c>
      <c r="C24" s="1" t="s">
        <v>16</v>
      </c>
      <c r="D24" s="1">
        <v>262144</v>
      </c>
      <c r="E24" s="3">
        <v>49.34</v>
      </c>
      <c r="F24" s="5">
        <v>20267608.23</v>
      </c>
      <c r="G24" s="6">
        <v>1.2999999999999999E-2</v>
      </c>
      <c r="H24" s="1">
        <v>0.12</v>
      </c>
      <c r="I24" s="1"/>
    </row>
    <row r="25" spans="1:9" x14ac:dyDescent="0.3">
      <c r="A25" s="1" t="s">
        <v>14</v>
      </c>
      <c r="B25" s="1" t="s">
        <v>19</v>
      </c>
      <c r="C25" s="1" t="s">
        <v>17</v>
      </c>
      <c r="D25" s="1">
        <v>262144</v>
      </c>
      <c r="E25" s="3">
        <v>52.64</v>
      </c>
      <c r="F25" s="5">
        <v>18998395.859999999</v>
      </c>
      <c r="G25" s="6">
        <v>6.0000000000000001E-3</v>
      </c>
      <c r="H25" s="1">
        <v>0.13</v>
      </c>
      <c r="I25" s="1"/>
    </row>
    <row r="26" spans="1:9" x14ac:dyDescent="0.3">
      <c r="A26" s="1" t="s">
        <v>20</v>
      </c>
      <c r="B26" s="1" t="s">
        <v>15</v>
      </c>
      <c r="C26" s="1" t="s">
        <v>16</v>
      </c>
      <c r="D26" s="1">
        <v>4096</v>
      </c>
      <c r="E26" s="3">
        <v>19.239999999999998</v>
      </c>
      <c r="F26" s="5">
        <v>51979035.799999997</v>
      </c>
      <c r="G26" s="6">
        <v>0.05</v>
      </c>
      <c r="H26" s="1">
        <v>0</v>
      </c>
      <c r="I26" s="1" t="s">
        <v>39</v>
      </c>
    </row>
    <row r="27" spans="1:9" x14ac:dyDescent="0.3">
      <c r="A27" s="1" t="s">
        <v>20</v>
      </c>
      <c r="B27" s="1" t="s">
        <v>15</v>
      </c>
      <c r="C27" s="1" t="s">
        <v>17</v>
      </c>
      <c r="D27" s="1">
        <v>4096</v>
      </c>
      <c r="E27" s="3">
        <v>55.44</v>
      </c>
      <c r="F27" s="5">
        <v>18036028.02</v>
      </c>
      <c r="G27" s="6">
        <v>2.5000000000000001E-2</v>
      </c>
      <c r="H27" s="1">
        <v>0</v>
      </c>
      <c r="I27" s="1"/>
    </row>
    <row r="28" spans="1:9" x14ac:dyDescent="0.3">
      <c r="A28" s="1" t="s">
        <v>20</v>
      </c>
      <c r="B28" s="1" t="s">
        <v>18</v>
      </c>
      <c r="C28" s="1" t="s">
        <v>16</v>
      </c>
      <c r="D28" s="1">
        <v>4096</v>
      </c>
      <c r="E28" s="3">
        <v>23.45</v>
      </c>
      <c r="F28" s="5">
        <v>42648452.219999999</v>
      </c>
      <c r="G28" s="6">
        <v>1.0999999999999999E-2</v>
      </c>
      <c r="H28" s="1">
        <v>0</v>
      </c>
      <c r="I28" s="1"/>
    </row>
    <row r="29" spans="1:9" x14ac:dyDescent="0.3">
      <c r="A29" s="1" t="s">
        <v>20</v>
      </c>
      <c r="B29" s="1" t="s">
        <v>18</v>
      </c>
      <c r="C29" s="1" t="s">
        <v>17</v>
      </c>
      <c r="D29" s="1">
        <v>4096</v>
      </c>
      <c r="E29" s="3">
        <v>37.950000000000003</v>
      </c>
      <c r="F29" s="5">
        <v>26347444.050000001</v>
      </c>
      <c r="G29" s="6">
        <v>1.7999999999999999E-2</v>
      </c>
      <c r="H29" s="1">
        <v>0</v>
      </c>
      <c r="I29" s="1"/>
    </row>
    <row r="30" spans="1:9" x14ac:dyDescent="0.3">
      <c r="A30" s="1" t="s">
        <v>20</v>
      </c>
      <c r="B30" s="1" t="s">
        <v>19</v>
      </c>
      <c r="C30" s="1" t="s">
        <v>16</v>
      </c>
      <c r="D30" s="1">
        <v>4096</v>
      </c>
      <c r="E30" s="3">
        <v>25.81</v>
      </c>
      <c r="F30" s="5">
        <v>38743851.68</v>
      </c>
      <c r="G30" s="6">
        <v>1.4999999999999999E-2</v>
      </c>
      <c r="H30" s="1">
        <v>0</v>
      </c>
      <c r="I30" s="1"/>
    </row>
    <row r="31" spans="1:9" x14ac:dyDescent="0.3">
      <c r="A31" s="1" t="s">
        <v>20</v>
      </c>
      <c r="B31" s="1" t="s">
        <v>19</v>
      </c>
      <c r="C31" s="1" t="s">
        <v>17</v>
      </c>
      <c r="D31" s="1">
        <v>4096</v>
      </c>
      <c r="E31" s="3">
        <v>60.73</v>
      </c>
      <c r="F31" s="5">
        <v>16466464.050000001</v>
      </c>
      <c r="G31" s="6">
        <v>0.02</v>
      </c>
      <c r="H31" s="1">
        <v>0</v>
      </c>
      <c r="I31" s="1"/>
    </row>
    <row r="32" spans="1:9" x14ac:dyDescent="0.3">
      <c r="A32" s="1" t="s">
        <v>20</v>
      </c>
      <c r="B32" s="1" t="s">
        <v>15</v>
      </c>
      <c r="C32" s="1" t="s">
        <v>16</v>
      </c>
      <c r="D32" s="1">
        <v>16384</v>
      </c>
      <c r="E32" s="3">
        <v>24.04</v>
      </c>
      <c r="F32" s="5">
        <v>41599171.270000003</v>
      </c>
      <c r="G32" s="6">
        <v>7.0999999999999994E-2</v>
      </c>
      <c r="H32" s="1">
        <v>0</v>
      </c>
      <c r="I32" s="1" t="s">
        <v>39</v>
      </c>
    </row>
    <row r="33" spans="1:9" x14ac:dyDescent="0.3">
      <c r="A33" s="1" t="s">
        <v>20</v>
      </c>
      <c r="B33" s="1" t="s">
        <v>15</v>
      </c>
      <c r="C33" s="1" t="s">
        <v>17</v>
      </c>
      <c r="D33" s="1">
        <v>16384</v>
      </c>
      <c r="E33" s="3">
        <v>70.05</v>
      </c>
      <c r="F33" s="5">
        <v>14275893.140000001</v>
      </c>
      <c r="G33" s="6">
        <v>1.2999999999999999E-2</v>
      </c>
      <c r="H33" s="1">
        <v>0.01</v>
      </c>
      <c r="I33" s="1"/>
    </row>
    <row r="34" spans="1:9" x14ac:dyDescent="0.3">
      <c r="A34" s="1" t="s">
        <v>20</v>
      </c>
      <c r="B34" s="1" t="s">
        <v>18</v>
      </c>
      <c r="C34" s="1" t="s">
        <v>16</v>
      </c>
      <c r="D34" s="1">
        <v>16384</v>
      </c>
      <c r="E34" s="3">
        <v>28.12</v>
      </c>
      <c r="F34" s="5">
        <v>35560726.060000002</v>
      </c>
      <c r="G34" s="6">
        <v>2.1999999999999999E-2</v>
      </c>
      <c r="H34" s="1">
        <v>0.01</v>
      </c>
      <c r="I34" s="1"/>
    </row>
    <row r="35" spans="1:9" x14ac:dyDescent="0.3">
      <c r="A35" s="1" t="s">
        <v>20</v>
      </c>
      <c r="B35" s="1" t="s">
        <v>18</v>
      </c>
      <c r="C35" s="1" t="s">
        <v>17</v>
      </c>
      <c r="D35" s="1">
        <v>16384</v>
      </c>
      <c r="E35" s="3">
        <v>57.63</v>
      </c>
      <c r="F35" s="5">
        <v>17353303.469999999</v>
      </c>
      <c r="G35" s="6">
        <v>2.3E-2</v>
      </c>
      <c r="H35" s="1">
        <v>0.01</v>
      </c>
      <c r="I35" s="1"/>
    </row>
    <row r="36" spans="1:9" x14ac:dyDescent="0.3">
      <c r="A36" s="1" t="s">
        <v>20</v>
      </c>
      <c r="B36" s="1" t="s">
        <v>19</v>
      </c>
      <c r="C36" s="1" t="s">
        <v>16</v>
      </c>
      <c r="D36" s="1">
        <v>16384</v>
      </c>
      <c r="E36" s="3">
        <v>29.78</v>
      </c>
      <c r="F36" s="5">
        <v>33577623.659999996</v>
      </c>
      <c r="G36" s="6">
        <v>4.2999999999999997E-2</v>
      </c>
      <c r="H36" s="1">
        <v>0.01</v>
      </c>
      <c r="I36" s="1"/>
    </row>
    <row r="37" spans="1:9" x14ac:dyDescent="0.3">
      <c r="A37" s="1" t="s">
        <v>20</v>
      </c>
      <c r="B37" s="1" t="s">
        <v>19</v>
      </c>
      <c r="C37" s="1" t="s">
        <v>17</v>
      </c>
      <c r="D37" s="1">
        <v>16384</v>
      </c>
      <c r="E37" s="3">
        <v>78.33</v>
      </c>
      <c r="F37" s="5">
        <v>12767084.859999999</v>
      </c>
      <c r="G37" s="6">
        <v>8.0000000000000002E-3</v>
      </c>
      <c r="H37" s="1">
        <v>0.01</v>
      </c>
      <c r="I37" s="1"/>
    </row>
    <row r="38" spans="1:9" x14ac:dyDescent="0.3">
      <c r="A38" s="1" t="s">
        <v>20</v>
      </c>
      <c r="B38" s="1" t="s">
        <v>15</v>
      </c>
      <c r="C38" s="1" t="s">
        <v>16</v>
      </c>
      <c r="D38" s="1">
        <v>65536</v>
      </c>
      <c r="E38" s="3">
        <v>55.85</v>
      </c>
      <c r="F38" s="5">
        <v>17906128.350000001</v>
      </c>
      <c r="G38" s="6">
        <v>0.05</v>
      </c>
      <c r="H38" s="1">
        <v>0.03</v>
      </c>
      <c r="I38" s="1"/>
    </row>
    <row r="39" spans="1:9" x14ac:dyDescent="0.3">
      <c r="A39" s="1" t="s">
        <v>20</v>
      </c>
      <c r="B39" s="1" t="s">
        <v>15</v>
      </c>
      <c r="C39" s="1" t="s">
        <v>17</v>
      </c>
      <c r="D39" s="1">
        <v>65536</v>
      </c>
      <c r="E39" s="3">
        <v>94.07</v>
      </c>
      <c r="F39" s="5">
        <v>10629989.4</v>
      </c>
      <c r="G39" s="6">
        <v>1.2E-2</v>
      </c>
      <c r="H39" s="1">
        <v>7.0000000000000007E-2</v>
      </c>
      <c r="I39" s="1"/>
    </row>
    <row r="40" spans="1:9" x14ac:dyDescent="0.3">
      <c r="A40" s="1" t="s">
        <v>20</v>
      </c>
      <c r="B40" s="1" t="s">
        <v>18</v>
      </c>
      <c r="C40" s="1" t="s">
        <v>16</v>
      </c>
      <c r="D40" s="1">
        <v>65536</v>
      </c>
      <c r="E40" s="3">
        <v>67.19</v>
      </c>
      <c r="F40" s="5">
        <v>14882801.57</v>
      </c>
      <c r="G40" s="6">
        <v>0.23499999999999999</v>
      </c>
      <c r="H40" s="1">
        <v>0.05</v>
      </c>
      <c r="I40" s="1" t="s">
        <v>39</v>
      </c>
    </row>
    <row r="41" spans="1:9" x14ac:dyDescent="0.3">
      <c r="A41" s="1" t="s">
        <v>20</v>
      </c>
      <c r="B41" s="1" t="s">
        <v>18</v>
      </c>
      <c r="C41" s="1" t="s">
        <v>17</v>
      </c>
      <c r="D41" s="1">
        <v>65536</v>
      </c>
      <c r="E41" s="3">
        <v>102</v>
      </c>
      <c r="F41" s="5">
        <v>9803522.6600000001</v>
      </c>
      <c r="G41" s="6">
        <v>5.8999999999999997E-2</v>
      </c>
      <c r="H41" s="1">
        <v>7.0000000000000007E-2</v>
      </c>
      <c r="I41" s="1" t="s">
        <v>39</v>
      </c>
    </row>
    <row r="42" spans="1:9" x14ac:dyDescent="0.3">
      <c r="A42" s="1" t="s">
        <v>20</v>
      </c>
      <c r="B42" s="1" t="s">
        <v>19</v>
      </c>
      <c r="C42" s="1" t="s">
        <v>16</v>
      </c>
      <c r="D42" s="1">
        <v>65536</v>
      </c>
      <c r="E42" s="3">
        <v>33.94</v>
      </c>
      <c r="F42" s="5">
        <v>29461134.91</v>
      </c>
      <c r="G42" s="6">
        <v>3.4000000000000002E-2</v>
      </c>
      <c r="H42" s="1">
        <v>0.04</v>
      </c>
      <c r="I42" s="1"/>
    </row>
    <row r="43" spans="1:9" x14ac:dyDescent="0.3">
      <c r="A43" s="1" t="s">
        <v>20</v>
      </c>
      <c r="B43" s="1" t="s">
        <v>19</v>
      </c>
      <c r="C43" s="1" t="s">
        <v>17</v>
      </c>
      <c r="D43" s="1">
        <v>65536</v>
      </c>
      <c r="E43" s="3">
        <v>115.13</v>
      </c>
      <c r="F43" s="5">
        <v>8685873.3300000001</v>
      </c>
      <c r="G43" s="6">
        <v>0.01</v>
      </c>
      <c r="H43" s="1">
        <v>0.08</v>
      </c>
      <c r="I43" s="1"/>
    </row>
    <row r="44" spans="1:9" x14ac:dyDescent="0.3">
      <c r="A44" s="1" t="s">
        <v>20</v>
      </c>
      <c r="B44" s="1" t="s">
        <v>15</v>
      </c>
      <c r="C44" s="1" t="s">
        <v>16</v>
      </c>
      <c r="D44" s="1">
        <v>262144</v>
      </c>
      <c r="E44" s="3">
        <v>75.75</v>
      </c>
      <c r="F44" s="5">
        <v>13202171.140000001</v>
      </c>
      <c r="G44" s="6">
        <v>7.8E-2</v>
      </c>
      <c r="H44" s="1">
        <v>0.21</v>
      </c>
      <c r="I44" s="1" t="s">
        <v>39</v>
      </c>
    </row>
    <row r="45" spans="1:9" x14ac:dyDescent="0.3">
      <c r="A45" s="1" t="s">
        <v>20</v>
      </c>
      <c r="B45" s="1" t="s">
        <v>15</v>
      </c>
      <c r="C45" s="1" t="s">
        <v>17</v>
      </c>
      <c r="D45" s="1">
        <v>262144</v>
      </c>
      <c r="E45" s="3">
        <v>151.99</v>
      </c>
      <c r="F45" s="5">
        <v>6579233.5199999996</v>
      </c>
      <c r="G45" s="6">
        <v>2.4E-2</v>
      </c>
      <c r="H45" s="1">
        <v>0.43</v>
      </c>
      <c r="I45" s="1"/>
    </row>
    <row r="46" spans="1:9" x14ac:dyDescent="0.3">
      <c r="A46" s="1" t="s">
        <v>20</v>
      </c>
      <c r="B46" s="1" t="s">
        <v>18</v>
      </c>
      <c r="C46" s="1" t="s">
        <v>16</v>
      </c>
      <c r="D46" s="1">
        <v>262144</v>
      </c>
      <c r="E46" s="3">
        <v>73.22</v>
      </c>
      <c r="F46" s="5">
        <v>13657275.449999999</v>
      </c>
      <c r="G46" s="6">
        <v>2.1000000000000001E-2</v>
      </c>
      <c r="H46" s="1">
        <v>0.2</v>
      </c>
      <c r="I46" s="1"/>
    </row>
    <row r="47" spans="1:9" x14ac:dyDescent="0.3">
      <c r="A47" s="1" t="s">
        <v>20</v>
      </c>
      <c r="B47" s="1" t="s">
        <v>18</v>
      </c>
      <c r="C47" s="1" t="s">
        <v>17</v>
      </c>
      <c r="D47" s="1">
        <v>262144</v>
      </c>
      <c r="E47" s="3">
        <v>185.31</v>
      </c>
      <c r="F47" s="5">
        <v>5396222.4000000004</v>
      </c>
      <c r="G47" s="6">
        <v>1.7000000000000001E-2</v>
      </c>
      <c r="H47" s="1">
        <v>0.53</v>
      </c>
      <c r="I47" s="1"/>
    </row>
    <row r="48" spans="1:9" x14ac:dyDescent="0.3">
      <c r="A48" s="1" t="s">
        <v>20</v>
      </c>
      <c r="B48" s="1" t="s">
        <v>19</v>
      </c>
      <c r="C48" s="1" t="s">
        <v>16</v>
      </c>
      <c r="D48" s="1">
        <v>262144</v>
      </c>
      <c r="E48" s="3">
        <v>42.97</v>
      </c>
      <c r="F48" s="5">
        <v>23270948.48</v>
      </c>
      <c r="G48" s="6">
        <v>1.9E-2</v>
      </c>
      <c r="H48" s="1">
        <v>0.22</v>
      </c>
      <c r="I48" s="1"/>
    </row>
    <row r="49" spans="1:9" x14ac:dyDescent="0.3">
      <c r="A49" s="1" t="s">
        <v>20</v>
      </c>
      <c r="B49" s="1" t="s">
        <v>19</v>
      </c>
      <c r="C49" s="1" t="s">
        <v>17</v>
      </c>
      <c r="D49" s="1">
        <v>262144</v>
      </c>
      <c r="E49" s="3">
        <v>188.04</v>
      </c>
      <c r="F49" s="5">
        <v>5317955.17</v>
      </c>
      <c r="G49" s="6">
        <v>1.0999999999999999E-2</v>
      </c>
      <c r="H49" s="1">
        <v>0.54</v>
      </c>
      <c r="I49" s="1"/>
    </row>
    <row r="50" spans="1:9" x14ac:dyDescent="0.3">
      <c r="A50" s="1" t="s">
        <v>21</v>
      </c>
      <c r="B50" s="1" t="s">
        <v>15</v>
      </c>
      <c r="C50" s="1" t="s">
        <v>16</v>
      </c>
      <c r="D50" s="1">
        <v>4096</v>
      </c>
      <c r="E50" s="3">
        <v>16.66</v>
      </c>
      <c r="F50" s="5">
        <v>60009376.469999999</v>
      </c>
      <c r="G50" s="6">
        <v>2.1000000000000001E-2</v>
      </c>
      <c r="H50" s="1">
        <v>0</v>
      </c>
      <c r="I50" s="1"/>
    </row>
    <row r="51" spans="1:9" x14ac:dyDescent="0.3">
      <c r="A51" s="1" t="s">
        <v>21</v>
      </c>
      <c r="B51" s="1" t="s">
        <v>15</v>
      </c>
      <c r="C51" s="1" t="s">
        <v>17</v>
      </c>
      <c r="D51" s="1">
        <v>4096</v>
      </c>
      <c r="E51" s="3">
        <v>59.54</v>
      </c>
      <c r="F51" s="5">
        <v>16794318.800000001</v>
      </c>
      <c r="G51" s="6">
        <v>3.5000000000000003E-2</v>
      </c>
      <c r="H51" s="1">
        <v>0</v>
      </c>
      <c r="I51" s="1"/>
    </row>
    <row r="52" spans="1:9" x14ac:dyDescent="0.3">
      <c r="A52" s="1" t="s">
        <v>21</v>
      </c>
      <c r="B52" s="1" t="s">
        <v>18</v>
      </c>
      <c r="C52" s="1" t="s">
        <v>16</v>
      </c>
      <c r="D52" s="1">
        <v>4096</v>
      </c>
      <c r="E52" s="3">
        <v>16.02</v>
      </c>
      <c r="F52" s="5">
        <v>62416189.200000003</v>
      </c>
      <c r="G52" s="6">
        <v>0.17399999999999999</v>
      </c>
      <c r="H52" s="1">
        <v>0</v>
      </c>
      <c r="I52" s="1" t="s">
        <v>39</v>
      </c>
    </row>
    <row r="53" spans="1:9" x14ac:dyDescent="0.3">
      <c r="A53" s="1" t="s">
        <v>21</v>
      </c>
      <c r="B53" s="1" t="s">
        <v>18</v>
      </c>
      <c r="C53" s="1" t="s">
        <v>17</v>
      </c>
      <c r="D53" s="1">
        <v>4096</v>
      </c>
      <c r="E53" s="3">
        <v>38.479999999999997</v>
      </c>
      <c r="F53" s="5">
        <v>25984901.350000001</v>
      </c>
      <c r="G53" s="6">
        <v>2.4E-2</v>
      </c>
      <c r="H53" s="1">
        <v>0</v>
      </c>
      <c r="I53" s="1"/>
    </row>
    <row r="54" spans="1:9" x14ac:dyDescent="0.3">
      <c r="A54" s="1" t="s">
        <v>21</v>
      </c>
      <c r="B54" s="1" t="s">
        <v>19</v>
      </c>
      <c r="C54" s="1" t="s">
        <v>16</v>
      </c>
      <c r="D54" s="1">
        <v>4096</v>
      </c>
      <c r="E54" s="3">
        <v>19.16</v>
      </c>
      <c r="F54" s="5">
        <v>52190976.159999996</v>
      </c>
      <c r="G54" s="6">
        <v>3.7999999999999999E-2</v>
      </c>
      <c r="H54" s="1">
        <v>0</v>
      </c>
      <c r="I54" s="1"/>
    </row>
    <row r="55" spans="1:9" x14ac:dyDescent="0.3">
      <c r="A55" s="1" t="s">
        <v>21</v>
      </c>
      <c r="B55" s="1" t="s">
        <v>19</v>
      </c>
      <c r="C55" s="1" t="s">
        <v>17</v>
      </c>
      <c r="D55" s="1">
        <v>4096</v>
      </c>
      <c r="E55" s="3">
        <v>62.52</v>
      </c>
      <c r="F55" s="5">
        <v>15993627.539999999</v>
      </c>
      <c r="G55" s="6">
        <v>1.7000000000000001E-2</v>
      </c>
      <c r="H55" s="1">
        <v>0</v>
      </c>
      <c r="I55" s="1"/>
    </row>
    <row r="56" spans="1:9" x14ac:dyDescent="0.3">
      <c r="A56" s="1" t="s">
        <v>21</v>
      </c>
      <c r="B56" s="1" t="s">
        <v>15</v>
      </c>
      <c r="C56" s="1" t="s">
        <v>16</v>
      </c>
      <c r="D56" s="1">
        <v>16384</v>
      </c>
      <c r="E56" s="3">
        <v>19.100000000000001</v>
      </c>
      <c r="F56" s="5">
        <v>52369141.07</v>
      </c>
      <c r="G56" s="6">
        <v>3.5000000000000003E-2</v>
      </c>
      <c r="H56" s="1">
        <v>0</v>
      </c>
      <c r="I56" s="1"/>
    </row>
    <row r="57" spans="1:9" x14ac:dyDescent="0.3">
      <c r="A57" s="1" t="s">
        <v>21</v>
      </c>
      <c r="B57" s="1" t="s">
        <v>15</v>
      </c>
      <c r="C57" s="1" t="s">
        <v>17</v>
      </c>
      <c r="D57" s="1">
        <v>16384</v>
      </c>
      <c r="E57" s="3">
        <v>84.35</v>
      </c>
      <c r="F57" s="5">
        <v>11855934.189999999</v>
      </c>
      <c r="G57" s="6">
        <v>1.4E-2</v>
      </c>
      <c r="H57" s="1">
        <v>0.02</v>
      </c>
      <c r="I57" s="1"/>
    </row>
    <row r="58" spans="1:9" x14ac:dyDescent="0.3">
      <c r="A58" s="1" t="s">
        <v>21</v>
      </c>
      <c r="B58" s="1" t="s">
        <v>18</v>
      </c>
      <c r="C58" s="1" t="s">
        <v>16</v>
      </c>
      <c r="D58" s="1">
        <v>16384</v>
      </c>
      <c r="E58" s="3">
        <v>17.079999999999998</v>
      </c>
      <c r="F58" s="5">
        <v>58550880.009999998</v>
      </c>
      <c r="G58" s="6">
        <v>1.9E-2</v>
      </c>
      <c r="H58" s="1">
        <v>0</v>
      </c>
      <c r="I58" s="1"/>
    </row>
    <row r="59" spans="1:9" x14ac:dyDescent="0.3">
      <c r="A59" s="1" t="s">
        <v>21</v>
      </c>
      <c r="B59" s="1" t="s">
        <v>18</v>
      </c>
      <c r="C59" s="1" t="s">
        <v>17</v>
      </c>
      <c r="D59" s="1">
        <v>16384</v>
      </c>
      <c r="E59" s="3">
        <v>53.89</v>
      </c>
      <c r="F59" s="5">
        <v>18555346.670000002</v>
      </c>
      <c r="G59" s="6">
        <v>1.0999999999999999E-2</v>
      </c>
      <c r="H59" s="1">
        <v>0.01</v>
      </c>
      <c r="I59" s="1"/>
    </row>
    <row r="60" spans="1:9" x14ac:dyDescent="0.3">
      <c r="A60" s="1" t="s">
        <v>21</v>
      </c>
      <c r="B60" s="1" t="s">
        <v>19</v>
      </c>
      <c r="C60" s="1" t="s">
        <v>16</v>
      </c>
      <c r="D60" s="1">
        <v>16384</v>
      </c>
      <c r="E60" s="3">
        <v>23.3</v>
      </c>
      <c r="F60" s="5">
        <v>42915779.350000001</v>
      </c>
      <c r="G60" s="6">
        <v>3.1E-2</v>
      </c>
      <c r="H60" s="1">
        <v>0</v>
      </c>
      <c r="I60" s="1"/>
    </row>
    <row r="61" spans="1:9" x14ac:dyDescent="0.3">
      <c r="A61" s="1" t="s">
        <v>21</v>
      </c>
      <c r="B61" s="1" t="s">
        <v>19</v>
      </c>
      <c r="C61" s="1" t="s">
        <v>17</v>
      </c>
      <c r="D61" s="1">
        <v>16384</v>
      </c>
      <c r="E61" s="3">
        <v>80.69</v>
      </c>
      <c r="F61" s="5">
        <v>12393390.289999999</v>
      </c>
      <c r="G61" s="6">
        <v>7.0000000000000001E-3</v>
      </c>
      <c r="H61" s="1">
        <v>0.01</v>
      </c>
      <c r="I61" s="1"/>
    </row>
    <row r="62" spans="1:9" x14ac:dyDescent="0.3">
      <c r="A62" s="1" t="s">
        <v>21</v>
      </c>
      <c r="B62" s="1" t="s">
        <v>15</v>
      </c>
      <c r="C62" s="1" t="s">
        <v>16</v>
      </c>
      <c r="D62" s="1">
        <v>65536</v>
      </c>
      <c r="E62" s="3">
        <v>18.89</v>
      </c>
      <c r="F62" s="5">
        <v>52950553.57</v>
      </c>
      <c r="G62" s="6">
        <v>2.4E-2</v>
      </c>
      <c r="H62" s="1">
        <v>0.01</v>
      </c>
      <c r="I62" s="1"/>
    </row>
    <row r="63" spans="1:9" x14ac:dyDescent="0.3">
      <c r="A63" s="1" t="s">
        <v>21</v>
      </c>
      <c r="B63" s="1" t="s">
        <v>15</v>
      </c>
      <c r="C63" s="1" t="s">
        <v>17</v>
      </c>
      <c r="D63" s="1">
        <v>65536</v>
      </c>
      <c r="E63" s="3">
        <v>125.17</v>
      </c>
      <c r="F63" s="5">
        <v>7988991.7300000004</v>
      </c>
      <c r="G63" s="6">
        <v>0.02</v>
      </c>
      <c r="H63" s="1">
        <v>0.09</v>
      </c>
      <c r="I63" s="1"/>
    </row>
    <row r="64" spans="1:9" x14ac:dyDescent="0.3">
      <c r="A64" s="1" t="s">
        <v>21</v>
      </c>
      <c r="B64" s="1" t="s">
        <v>18</v>
      </c>
      <c r="C64" s="1" t="s">
        <v>16</v>
      </c>
      <c r="D64" s="1">
        <v>65536</v>
      </c>
      <c r="E64" s="3">
        <v>29.38</v>
      </c>
      <c r="F64" s="5">
        <v>34039069.93</v>
      </c>
      <c r="G64" s="6">
        <v>9.9000000000000005E-2</v>
      </c>
      <c r="H64" s="1">
        <v>0.02</v>
      </c>
      <c r="I64" s="1" t="s">
        <v>39</v>
      </c>
    </row>
    <row r="65" spans="1:9" x14ac:dyDescent="0.3">
      <c r="A65" s="1" t="s">
        <v>21</v>
      </c>
      <c r="B65" s="1" t="s">
        <v>18</v>
      </c>
      <c r="C65" s="1" t="s">
        <v>17</v>
      </c>
      <c r="D65" s="1">
        <v>65536</v>
      </c>
      <c r="E65" s="3">
        <v>99.31</v>
      </c>
      <c r="F65" s="5">
        <v>10069841.699999999</v>
      </c>
      <c r="G65" s="6">
        <v>2.3E-2</v>
      </c>
      <c r="H65" s="1">
        <v>7.0000000000000007E-2</v>
      </c>
      <c r="I65" s="1"/>
    </row>
    <row r="66" spans="1:9" x14ac:dyDescent="0.3">
      <c r="A66" s="1" t="s">
        <v>21</v>
      </c>
      <c r="B66" s="1" t="s">
        <v>19</v>
      </c>
      <c r="C66" s="1" t="s">
        <v>16</v>
      </c>
      <c r="D66" s="1">
        <v>65536</v>
      </c>
      <c r="E66" s="3">
        <v>28.9</v>
      </c>
      <c r="F66" s="5">
        <v>34599398.039999999</v>
      </c>
      <c r="G66" s="6">
        <v>0.02</v>
      </c>
      <c r="H66" s="1">
        <v>0.02</v>
      </c>
      <c r="I66" s="1"/>
    </row>
    <row r="67" spans="1:9" x14ac:dyDescent="0.3">
      <c r="A67" s="1" t="s">
        <v>21</v>
      </c>
      <c r="B67" s="1" t="s">
        <v>19</v>
      </c>
      <c r="C67" s="1" t="s">
        <v>17</v>
      </c>
      <c r="D67" s="1">
        <v>65536</v>
      </c>
      <c r="E67" s="3">
        <v>130.85</v>
      </c>
      <c r="F67" s="5">
        <v>7642135.9000000004</v>
      </c>
      <c r="G67" s="6">
        <v>8.9999999999999993E-3</v>
      </c>
      <c r="H67" s="1">
        <v>0.09</v>
      </c>
      <c r="I67" s="1"/>
    </row>
    <row r="68" spans="1:9" x14ac:dyDescent="0.3">
      <c r="A68" s="1" t="s">
        <v>21</v>
      </c>
      <c r="B68" s="1" t="s">
        <v>15</v>
      </c>
      <c r="C68" s="1" t="s">
        <v>16</v>
      </c>
      <c r="D68" s="1">
        <v>262144</v>
      </c>
      <c r="E68" s="3">
        <v>30.33</v>
      </c>
      <c r="F68" s="5">
        <v>32975701.579999998</v>
      </c>
      <c r="G68" s="6">
        <v>6.9000000000000006E-2</v>
      </c>
      <c r="H68" s="1">
        <v>0.08</v>
      </c>
      <c r="I68" s="1" t="s">
        <v>39</v>
      </c>
    </row>
    <row r="69" spans="1:9" x14ac:dyDescent="0.3">
      <c r="A69" s="1" t="s">
        <v>21</v>
      </c>
      <c r="B69" s="1" t="s">
        <v>15</v>
      </c>
      <c r="C69" s="1" t="s">
        <v>17</v>
      </c>
      <c r="D69" s="1">
        <v>262144</v>
      </c>
      <c r="E69" s="3">
        <v>205.07</v>
      </c>
      <c r="F69" s="5">
        <v>4876501.7</v>
      </c>
      <c r="G69" s="6">
        <v>1.4E-2</v>
      </c>
      <c r="H69" s="1">
        <v>0.59</v>
      </c>
      <c r="I69" s="1"/>
    </row>
    <row r="70" spans="1:9" x14ac:dyDescent="0.3">
      <c r="A70" s="1" t="s">
        <v>21</v>
      </c>
      <c r="B70" s="1" t="s">
        <v>18</v>
      </c>
      <c r="C70" s="1" t="s">
        <v>16</v>
      </c>
      <c r="D70" s="1">
        <v>262144</v>
      </c>
      <c r="E70" s="3">
        <v>38.06</v>
      </c>
      <c r="F70" s="5">
        <v>26271150.940000001</v>
      </c>
      <c r="G70" s="6">
        <v>0.02</v>
      </c>
      <c r="H70" s="1">
        <v>0.11</v>
      </c>
      <c r="I70" s="1"/>
    </row>
    <row r="71" spans="1:9" x14ac:dyDescent="0.3">
      <c r="A71" s="1" t="s">
        <v>21</v>
      </c>
      <c r="B71" s="1" t="s">
        <v>18</v>
      </c>
      <c r="C71" s="1" t="s">
        <v>17</v>
      </c>
      <c r="D71" s="1">
        <v>262144</v>
      </c>
      <c r="E71" s="3">
        <v>172.39</v>
      </c>
      <c r="F71" s="5">
        <v>5800802.9699999997</v>
      </c>
      <c r="G71" s="6">
        <v>5.6000000000000001E-2</v>
      </c>
      <c r="H71" s="1">
        <v>0.5</v>
      </c>
      <c r="I71" s="1" t="s">
        <v>39</v>
      </c>
    </row>
    <row r="72" spans="1:9" x14ac:dyDescent="0.3">
      <c r="A72" s="1" t="s">
        <v>21</v>
      </c>
      <c r="B72" s="1" t="s">
        <v>19</v>
      </c>
      <c r="C72" s="1" t="s">
        <v>16</v>
      </c>
      <c r="D72" s="1">
        <v>262144</v>
      </c>
      <c r="E72" s="3">
        <v>32.44</v>
      </c>
      <c r="F72" s="5">
        <v>30829955.760000002</v>
      </c>
      <c r="G72" s="6">
        <v>1.9E-2</v>
      </c>
      <c r="H72" s="1">
        <v>0.09</v>
      </c>
      <c r="I72" s="1"/>
    </row>
    <row r="73" spans="1:9" x14ac:dyDescent="0.3">
      <c r="A73" s="1" t="s">
        <v>21</v>
      </c>
      <c r="B73" s="1" t="s">
        <v>19</v>
      </c>
      <c r="C73" s="1" t="s">
        <v>17</v>
      </c>
      <c r="D73" s="1">
        <v>262144</v>
      </c>
      <c r="E73" s="3">
        <v>213.43</v>
      </c>
      <c r="F73" s="5">
        <v>4685269.91</v>
      </c>
      <c r="G73" s="6">
        <v>2.5000000000000001E-2</v>
      </c>
      <c r="H73" s="1">
        <v>0.62</v>
      </c>
      <c r="I7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3"/>
  <sheetViews>
    <sheetView zoomScaleNormal="100" workbookViewId="0">
      <pane ySplit="1" topLeftCell="A41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8" customWidth="1"/>
    <col min="4" max="4" width="9" customWidth="1"/>
    <col min="5" max="5" width="10" customWidth="1"/>
    <col min="6" max="6" width="14" customWidth="1"/>
    <col min="7" max="7" width="8" customWidth="1"/>
    <col min="8" max="9" width="10" customWidth="1"/>
  </cols>
  <sheetData>
    <row r="1" spans="1:9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spans="1:9" x14ac:dyDescent="0.3">
      <c r="A2" s="1" t="s">
        <v>14</v>
      </c>
      <c r="B2" s="1" t="s">
        <v>15</v>
      </c>
      <c r="C2" s="1" t="s">
        <v>16</v>
      </c>
      <c r="D2" s="1">
        <v>4096</v>
      </c>
      <c r="E2" s="3">
        <v>46.97</v>
      </c>
      <c r="F2" s="5">
        <v>21289153.440000001</v>
      </c>
      <c r="G2" s="6">
        <v>1.2999999999999999E-2</v>
      </c>
      <c r="H2" s="1">
        <v>0.11</v>
      </c>
      <c r="I2" s="1"/>
    </row>
    <row r="3" spans="1:9" x14ac:dyDescent="0.3">
      <c r="A3" s="1" t="s">
        <v>14</v>
      </c>
      <c r="B3" s="1" t="s">
        <v>15</v>
      </c>
      <c r="C3" s="1" t="s">
        <v>17</v>
      </c>
      <c r="D3" s="1">
        <v>4096</v>
      </c>
      <c r="E3" s="3">
        <v>41.03</v>
      </c>
      <c r="F3" s="5">
        <v>24374209.699999999</v>
      </c>
      <c r="G3" s="6">
        <v>1.2E-2</v>
      </c>
      <c r="H3" s="1">
        <v>0.1</v>
      </c>
      <c r="I3" s="1"/>
    </row>
    <row r="4" spans="1:9" x14ac:dyDescent="0.3">
      <c r="A4" s="1" t="s">
        <v>14</v>
      </c>
      <c r="B4" s="1" t="s">
        <v>18</v>
      </c>
      <c r="C4" s="1" t="s">
        <v>16</v>
      </c>
      <c r="D4" s="1">
        <v>4096</v>
      </c>
      <c r="E4" s="3">
        <v>13.99</v>
      </c>
      <c r="F4" s="5">
        <v>71475160.079999998</v>
      </c>
      <c r="G4" s="6">
        <v>8.0000000000000002E-3</v>
      </c>
      <c r="H4" s="1">
        <v>0.03</v>
      </c>
      <c r="I4" s="1"/>
    </row>
    <row r="5" spans="1:9" x14ac:dyDescent="0.3">
      <c r="A5" s="1" t="s">
        <v>14</v>
      </c>
      <c r="B5" s="1" t="s">
        <v>18</v>
      </c>
      <c r="C5" s="1" t="s">
        <v>17</v>
      </c>
      <c r="D5" s="1">
        <v>4096</v>
      </c>
      <c r="E5" s="3">
        <v>13.25</v>
      </c>
      <c r="F5" s="5">
        <v>75485099.849999994</v>
      </c>
      <c r="G5" s="6">
        <v>1.4E-2</v>
      </c>
      <c r="H5" s="1">
        <v>0.03</v>
      </c>
      <c r="I5" s="1"/>
    </row>
    <row r="6" spans="1:9" x14ac:dyDescent="0.3">
      <c r="A6" s="1" t="s">
        <v>14</v>
      </c>
      <c r="B6" s="1" t="s">
        <v>19</v>
      </c>
      <c r="C6" s="1" t="s">
        <v>16</v>
      </c>
      <c r="D6" s="1">
        <v>4096</v>
      </c>
      <c r="E6" s="3">
        <v>9.43</v>
      </c>
      <c r="F6" s="5">
        <v>106095850.18000001</v>
      </c>
      <c r="G6" s="6">
        <v>0.01</v>
      </c>
      <c r="H6" s="1">
        <v>0.02</v>
      </c>
      <c r="I6" s="1"/>
    </row>
    <row r="7" spans="1:9" x14ac:dyDescent="0.3">
      <c r="A7" s="1" t="s">
        <v>14</v>
      </c>
      <c r="B7" s="1" t="s">
        <v>19</v>
      </c>
      <c r="C7" s="1" t="s">
        <v>17</v>
      </c>
      <c r="D7" s="1">
        <v>4096</v>
      </c>
      <c r="E7" s="3">
        <v>11.42</v>
      </c>
      <c r="F7" s="5">
        <v>87598426.430000007</v>
      </c>
      <c r="G7" s="6">
        <v>1.2E-2</v>
      </c>
      <c r="H7" s="1">
        <v>0.03</v>
      </c>
      <c r="I7" s="1"/>
    </row>
    <row r="8" spans="1:9" x14ac:dyDescent="0.3">
      <c r="A8" s="1" t="s">
        <v>14</v>
      </c>
      <c r="B8" s="1" t="s">
        <v>15</v>
      </c>
      <c r="C8" s="1" t="s">
        <v>16</v>
      </c>
      <c r="D8" s="1">
        <v>16384</v>
      </c>
      <c r="E8" s="3">
        <v>66.959999999999994</v>
      </c>
      <c r="F8" s="5">
        <v>14934261.58</v>
      </c>
      <c r="G8" s="6">
        <v>5.0000000000000001E-3</v>
      </c>
      <c r="H8" s="1">
        <v>0.15</v>
      </c>
      <c r="I8" s="1"/>
    </row>
    <row r="9" spans="1:9" x14ac:dyDescent="0.3">
      <c r="A9" s="1" t="s">
        <v>14</v>
      </c>
      <c r="B9" s="1" t="s">
        <v>15</v>
      </c>
      <c r="C9" s="1" t="s">
        <v>17</v>
      </c>
      <c r="D9" s="1">
        <v>16384</v>
      </c>
      <c r="E9" s="3">
        <v>58.67</v>
      </c>
      <c r="F9" s="5">
        <v>17043301.210000001</v>
      </c>
      <c r="G9" s="6">
        <v>4.0000000000000001E-3</v>
      </c>
      <c r="H9" s="1">
        <v>0.14000000000000001</v>
      </c>
      <c r="I9" s="1"/>
    </row>
    <row r="10" spans="1:9" x14ac:dyDescent="0.3">
      <c r="A10" s="1" t="s">
        <v>14</v>
      </c>
      <c r="B10" s="1" t="s">
        <v>18</v>
      </c>
      <c r="C10" s="1" t="s">
        <v>16</v>
      </c>
      <c r="D10" s="1">
        <v>16384</v>
      </c>
      <c r="E10" s="3">
        <v>26.58</v>
      </c>
      <c r="F10" s="5">
        <v>37616436.390000001</v>
      </c>
      <c r="G10" s="6">
        <v>6.0000000000000001E-3</v>
      </c>
      <c r="H10" s="1">
        <v>0.06</v>
      </c>
      <c r="I10" s="1"/>
    </row>
    <row r="11" spans="1:9" x14ac:dyDescent="0.3">
      <c r="A11" s="1" t="s">
        <v>14</v>
      </c>
      <c r="B11" s="1" t="s">
        <v>18</v>
      </c>
      <c r="C11" s="1" t="s">
        <v>17</v>
      </c>
      <c r="D11" s="1">
        <v>16384</v>
      </c>
      <c r="E11" s="3">
        <v>24.1</v>
      </c>
      <c r="F11" s="5">
        <v>41494203.439999998</v>
      </c>
      <c r="G11" s="6">
        <v>1.2E-2</v>
      </c>
      <c r="H11" s="1">
        <v>0.06</v>
      </c>
      <c r="I11" s="1"/>
    </row>
    <row r="12" spans="1:9" x14ac:dyDescent="0.3">
      <c r="A12" s="1" t="s">
        <v>14</v>
      </c>
      <c r="B12" s="1" t="s">
        <v>19</v>
      </c>
      <c r="C12" s="1" t="s">
        <v>16</v>
      </c>
      <c r="D12" s="1">
        <v>16384</v>
      </c>
      <c r="E12" s="3">
        <v>17.77</v>
      </c>
      <c r="F12" s="5">
        <v>56266288.359999999</v>
      </c>
      <c r="G12" s="6">
        <v>1.2E-2</v>
      </c>
      <c r="H12" s="1">
        <v>0.04</v>
      </c>
      <c r="I12" s="1"/>
    </row>
    <row r="13" spans="1:9" x14ac:dyDescent="0.3">
      <c r="A13" s="1" t="s">
        <v>14</v>
      </c>
      <c r="B13" s="1" t="s">
        <v>19</v>
      </c>
      <c r="C13" s="1" t="s">
        <v>17</v>
      </c>
      <c r="D13" s="1">
        <v>16384</v>
      </c>
      <c r="E13" s="3">
        <v>21.41</v>
      </c>
      <c r="F13" s="5">
        <v>46711641.039999999</v>
      </c>
      <c r="G13" s="6">
        <v>5.0000000000000001E-3</v>
      </c>
      <c r="H13" s="1">
        <v>0.05</v>
      </c>
      <c r="I13" s="1"/>
    </row>
    <row r="14" spans="1:9" x14ac:dyDescent="0.3">
      <c r="A14" s="1" t="s">
        <v>14</v>
      </c>
      <c r="B14" s="1" t="s">
        <v>15</v>
      </c>
      <c r="C14" s="1" t="s">
        <v>16</v>
      </c>
      <c r="D14" s="1">
        <v>65536</v>
      </c>
      <c r="E14" s="3">
        <v>101.2</v>
      </c>
      <c r="F14" s="5">
        <v>9881091.2799999993</v>
      </c>
      <c r="G14" s="6">
        <v>1.0999999999999999E-2</v>
      </c>
      <c r="H14" s="1">
        <v>0.25</v>
      </c>
      <c r="I14" s="1"/>
    </row>
    <row r="15" spans="1:9" x14ac:dyDescent="0.3">
      <c r="A15" s="1" t="s">
        <v>14</v>
      </c>
      <c r="B15" s="1" t="s">
        <v>15</v>
      </c>
      <c r="C15" s="1" t="s">
        <v>17</v>
      </c>
      <c r="D15" s="1">
        <v>65536</v>
      </c>
      <c r="E15" s="3">
        <v>95.45</v>
      </c>
      <c r="F15" s="5">
        <v>10476598.470000001</v>
      </c>
      <c r="G15" s="6">
        <v>7.0000000000000001E-3</v>
      </c>
      <c r="H15" s="1">
        <v>0.23</v>
      </c>
      <c r="I15" s="1"/>
    </row>
    <row r="16" spans="1:9" x14ac:dyDescent="0.3">
      <c r="A16" s="1" t="s">
        <v>14</v>
      </c>
      <c r="B16" s="1" t="s">
        <v>18</v>
      </c>
      <c r="C16" s="1" t="s">
        <v>16</v>
      </c>
      <c r="D16" s="1">
        <v>65536</v>
      </c>
      <c r="E16" s="3">
        <v>41.06</v>
      </c>
      <c r="F16" s="5">
        <v>24352040.960000001</v>
      </c>
      <c r="G16" s="6">
        <v>2.3E-2</v>
      </c>
      <c r="H16" s="1">
        <v>0.1</v>
      </c>
      <c r="I16" s="1"/>
    </row>
    <row r="17" spans="1:9" x14ac:dyDescent="0.3">
      <c r="A17" s="1" t="s">
        <v>14</v>
      </c>
      <c r="B17" s="1" t="s">
        <v>18</v>
      </c>
      <c r="C17" s="1" t="s">
        <v>17</v>
      </c>
      <c r="D17" s="1">
        <v>65536</v>
      </c>
      <c r="E17" s="3">
        <v>37.25</v>
      </c>
      <c r="F17" s="5">
        <v>26848892.18</v>
      </c>
      <c r="G17" s="6">
        <v>4.0000000000000001E-3</v>
      </c>
      <c r="H17" s="1">
        <v>0.09</v>
      </c>
      <c r="I17" s="1"/>
    </row>
    <row r="18" spans="1:9" x14ac:dyDescent="0.3">
      <c r="A18" s="1" t="s">
        <v>14</v>
      </c>
      <c r="B18" s="1" t="s">
        <v>19</v>
      </c>
      <c r="C18" s="1" t="s">
        <v>16</v>
      </c>
      <c r="D18" s="1">
        <v>65536</v>
      </c>
      <c r="E18" s="3">
        <v>26.78</v>
      </c>
      <c r="F18" s="5">
        <v>37337796.450000003</v>
      </c>
      <c r="G18" s="6">
        <v>5.0000000000000001E-3</v>
      </c>
      <c r="H18" s="1">
        <v>0.06</v>
      </c>
      <c r="I18" s="1"/>
    </row>
    <row r="19" spans="1:9" x14ac:dyDescent="0.3">
      <c r="A19" s="1" t="s">
        <v>14</v>
      </c>
      <c r="B19" s="1" t="s">
        <v>19</v>
      </c>
      <c r="C19" s="1" t="s">
        <v>17</v>
      </c>
      <c r="D19" s="1">
        <v>65536</v>
      </c>
      <c r="E19" s="3">
        <v>30.35</v>
      </c>
      <c r="F19" s="5">
        <v>32947909.98</v>
      </c>
      <c r="G19" s="6">
        <v>7.0000000000000001E-3</v>
      </c>
      <c r="H19" s="1">
        <v>7.0000000000000007E-2</v>
      </c>
      <c r="I19" s="1"/>
    </row>
    <row r="20" spans="1:9" x14ac:dyDescent="0.3">
      <c r="A20" s="1" t="s">
        <v>14</v>
      </c>
      <c r="B20" s="1" t="s">
        <v>15</v>
      </c>
      <c r="C20" s="1" t="s">
        <v>16</v>
      </c>
      <c r="D20" s="1">
        <v>262144</v>
      </c>
      <c r="E20" s="3">
        <v>183.66</v>
      </c>
      <c r="F20" s="5">
        <v>5444966.3200000003</v>
      </c>
      <c r="G20" s="6">
        <v>0.04</v>
      </c>
      <c r="H20" s="1">
        <v>0.44</v>
      </c>
      <c r="I20" s="1"/>
    </row>
    <row r="21" spans="1:9" x14ac:dyDescent="0.3">
      <c r="A21" s="1" t="s">
        <v>14</v>
      </c>
      <c r="B21" s="1" t="s">
        <v>15</v>
      </c>
      <c r="C21" s="1" t="s">
        <v>17</v>
      </c>
      <c r="D21" s="1">
        <v>262144</v>
      </c>
      <c r="E21" s="3">
        <v>183.39</v>
      </c>
      <c r="F21" s="5">
        <v>5452824.9400000004</v>
      </c>
      <c r="G21" s="6">
        <v>4.8000000000000001E-2</v>
      </c>
      <c r="H21" s="1">
        <v>0.45</v>
      </c>
      <c r="I21" s="1"/>
    </row>
    <row r="22" spans="1:9" x14ac:dyDescent="0.3">
      <c r="A22" s="1" t="s">
        <v>14</v>
      </c>
      <c r="B22" s="1" t="s">
        <v>18</v>
      </c>
      <c r="C22" s="1" t="s">
        <v>16</v>
      </c>
      <c r="D22" s="1">
        <v>262144</v>
      </c>
      <c r="E22" s="3">
        <v>77.180000000000007</v>
      </c>
      <c r="F22" s="5">
        <v>12956504.550000001</v>
      </c>
      <c r="G22" s="6">
        <v>1.7999999999999999E-2</v>
      </c>
      <c r="H22" s="1">
        <v>0.17</v>
      </c>
      <c r="I22" s="1"/>
    </row>
    <row r="23" spans="1:9" x14ac:dyDescent="0.3">
      <c r="A23" s="1" t="s">
        <v>14</v>
      </c>
      <c r="B23" s="1" t="s">
        <v>18</v>
      </c>
      <c r="C23" s="1" t="s">
        <v>17</v>
      </c>
      <c r="D23" s="1">
        <v>262144</v>
      </c>
      <c r="E23" s="3">
        <v>73.819999999999993</v>
      </c>
      <c r="F23" s="5">
        <v>13547203.460000001</v>
      </c>
      <c r="G23" s="6">
        <v>4.3999999999999997E-2</v>
      </c>
      <c r="H23" s="1">
        <v>0.19</v>
      </c>
      <c r="I23" s="1"/>
    </row>
    <row r="24" spans="1:9" x14ac:dyDescent="0.3">
      <c r="A24" s="1" t="s">
        <v>14</v>
      </c>
      <c r="B24" s="1" t="s">
        <v>19</v>
      </c>
      <c r="C24" s="1" t="s">
        <v>16</v>
      </c>
      <c r="D24" s="1">
        <v>262144</v>
      </c>
      <c r="E24" s="3">
        <v>48.99</v>
      </c>
      <c r="F24" s="5">
        <v>20412544.760000002</v>
      </c>
      <c r="G24" s="6">
        <v>3.0000000000000001E-3</v>
      </c>
      <c r="H24" s="1">
        <v>0.12</v>
      </c>
      <c r="I24" s="1"/>
    </row>
    <row r="25" spans="1:9" x14ac:dyDescent="0.3">
      <c r="A25" s="1" t="s">
        <v>14</v>
      </c>
      <c r="B25" s="1" t="s">
        <v>19</v>
      </c>
      <c r="C25" s="1" t="s">
        <v>17</v>
      </c>
      <c r="D25" s="1">
        <v>262144</v>
      </c>
      <c r="E25" s="3">
        <v>51.44</v>
      </c>
      <c r="F25" s="5">
        <v>19440829.420000002</v>
      </c>
      <c r="G25" s="6">
        <v>1.7999999999999999E-2</v>
      </c>
      <c r="H25" s="1">
        <v>0.12</v>
      </c>
      <c r="I25" s="1"/>
    </row>
    <row r="26" spans="1:9" x14ac:dyDescent="0.3">
      <c r="A26" s="1" t="s">
        <v>20</v>
      </c>
      <c r="B26" s="1" t="s">
        <v>15</v>
      </c>
      <c r="C26" s="1" t="s">
        <v>16</v>
      </c>
      <c r="D26" s="1">
        <v>4096</v>
      </c>
      <c r="E26" s="3">
        <v>18.510000000000002</v>
      </c>
      <c r="F26" s="5">
        <v>54019122.979999997</v>
      </c>
      <c r="G26" s="6">
        <v>2.9000000000000001E-2</v>
      </c>
      <c r="H26" s="1">
        <v>0</v>
      </c>
      <c r="I26" s="1"/>
    </row>
    <row r="27" spans="1:9" x14ac:dyDescent="0.3">
      <c r="A27" s="1" t="s">
        <v>20</v>
      </c>
      <c r="B27" s="1" t="s">
        <v>15</v>
      </c>
      <c r="C27" s="1" t="s">
        <v>17</v>
      </c>
      <c r="D27" s="1">
        <v>4096</v>
      </c>
      <c r="E27" s="3">
        <v>55.58</v>
      </c>
      <c r="F27" s="5">
        <v>17993322.789999999</v>
      </c>
      <c r="G27" s="6">
        <v>1.4E-2</v>
      </c>
      <c r="H27" s="1">
        <v>0</v>
      </c>
      <c r="I27" s="1"/>
    </row>
    <row r="28" spans="1:9" x14ac:dyDescent="0.3">
      <c r="A28" s="1" t="s">
        <v>20</v>
      </c>
      <c r="B28" s="1" t="s">
        <v>18</v>
      </c>
      <c r="C28" s="1" t="s">
        <v>16</v>
      </c>
      <c r="D28" s="1">
        <v>4096</v>
      </c>
      <c r="E28" s="3">
        <v>22.92</v>
      </c>
      <c r="F28" s="5">
        <v>43622266.950000003</v>
      </c>
      <c r="G28" s="6">
        <v>2.9000000000000001E-2</v>
      </c>
      <c r="H28" s="1">
        <v>0</v>
      </c>
      <c r="I28" s="1"/>
    </row>
    <row r="29" spans="1:9" x14ac:dyDescent="0.3">
      <c r="A29" s="1" t="s">
        <v>20</v>
      </c>
      <c r="B29" s="1" t="s">
        <v>18</v>
      </c>
      <c r="C29" s="1" t="s">
        <v>17</v>
      </c>
      <c r="D29" s="1">
        <v>4096</v>
      </c>
      <c r="E29" s="3">
        <v>36.4</v>
      </c>
      <c r="F29" s="5">
        <v>27474075.370000001</v>
      </c>
      <c r="G29" s="6">
        <v>0.01</v>
      </c>
      <c r="H29" s="1">
        <v>0</v>
      </c>
      <c r="I29" s="1"/>
    </row>
    <row r="30" spans="1:9" x14ac:dyDescent="0.3">
      <c r="A30" s="1" t="s">
        <v>20</v>
      </c>
      <c r="B30" s="1" t="s">
        <v>19</v>
      </c>
      <c r="C30" s="1" t="s">
        <v>16</v>
      </c>
      <c r="D30" s="1">
        <v>4096</v>
      </c>
      <c r="E30" s="3">
        <v>25.45</v>
      </c>
      <c r="F30" s="5">
        <v>39300346.369999997</v>
      </c>
      <c r="G30" s="6">
        <v>0.01</v>
      </c>
      <c r="H30" s="1">
        <v>0</v>
      </c>
      <c r="I30" s="1"/>
    </row>
    <row r="31" spans="1:9" x14ac:dyDescent="0.3">
      <c r="A31" s="1" t="s">
        <v>20</v>
      </c>
      <c r="B31" s="1" t="s">
        <v>19</v>
      </c>
      <c r="C31" s="1" t="s">
        <v>17</v>
      </c>
      <c r="D31" s="1">
        <v>4096</v>
      </c>
      <c r="E31" s="3">
        <v>60.77</v>
      </c>
      <c r="F31" s="5">
        <v>16455350.4</v>
      </c>
      <c r="G31" s="6">
        <v>1.7000000000000001E-2</v>
      </c>
      <c r="H31" s="1">
        <v>0</v>
      </c>
      <c r="I31" s="1"/>
    </row>
    <row r="32" spans="1:9" x14ac:dyDescent="0.3">
      <c r="A32" s="1" t="s">
        <v>20</v>
      </c>
      <c r="B32" s="1" t="s">
        <v>15</v>
      </c>
      <c r="C32" s="1" t="s">
        <v>16</v>
      </c>
      <c r="D32" s="1">
        <v>16384</v>
      </c>
      <c r="E32" s="3">
        <v>23.64</v>
      </c>
      <c r="F32" s="5">
        <v>42306510.460000001</v>
      </c>
      <c r="G32" s="6">
        <v>7.1999999999999995E-2</v>
      </c>
      <c r="H32" s="1">
        <v>0</v>
      </c>
      <c r="I32" s="1" t="s">
        <v>39</v>
      </c>
    </row>
    <row r="33" spans="1:9" x14ac:dyDescent="0.3">
      <c r="A33" s="1" t="s">
        <v>20</v>
      </c>
      <c r="B33" s="1" t="s">
        <v>15</v>
      </c>
      <c r="C33" s="1" t="s">
        <v>17</v>
      </c>
      <c r="D33" s="1">
        <v>16384</v>
      </c>
      <c r="E33" s="3">
        <v>71.34</v>
      </c>
      <c r="F33" s="5">
        <v>14016476.890000001</v>
      </c>
      <c r="G33" s="6">
        <v>1.6E-2</v>
      </c>
      <c r="H33" s="1">
        <v>0.01</v>
      </c>
      <c r="I33" s="1"/>
    </row>
    <row r="34" spans="1:9" x14ac:dyDescent="0.3">
      <c r="A34" s="1" t="s">
        <v>20</v>
      </c>
      <c r="B34" s="1" t="s">
        <v>18</v>
      </c>
      <c r="C34" s="1" t="s">
        <v>16</v>
      </c>
      <c r="D34" s="1">
        <v>16384</v>
      </c>
      <c r="E34" s="3">
        <v>29.02</v>
      </c>
      <c r="F34" s="5">
        <v>34456579.119999997</v>
      </c>
      <c r="G34" s="6">
        <v>0.02</v>
      </c>
      <c r="H34" s="1">
        <v>0.01</v>
      </c>
      <c r="I34" s="1"/>
    </row>
    <row r="35" spans="1:9" x14ac:dyDescent="0.3">
      <c r="A35" s="1" t="s">
        <v>20</v>
      </c>
      <c r="B35" s="1" t="s">
        <v>18</v>
      </c>
      <c r="C35" s="1" t="s">
        <v>17</v>
      </c>
      <c r="D35" s="1">
        <v>16384</v>
      </c>
      <c r="E35" s="3">
        <v>58.21</v>
      </c>
      <c r="F35" s="5">
        <v>17178109.649999999</v>
      </c>
      <c r="G35" s="6">
        <v>8.0000000000000002E-3</v>
      </c>
      <c r="H35" s="1">
        <v>0.01</v>
      </c>
      <c r="I35" s="1"/>
    </row>
    <row r="36" spans="1:9" x14ac:dyDescent="0.3">
      <c r="A36" s="1" t="s">
        <v>20</v>
      </c>
      <c r="B36" s="1" t="s">
        <v>19</v>
      </c>
      <c r="C36" s="1" t="s">
        <v>16</v>
      </c>
      <c r="D36" s="1">
        <v>16384</v>
      </c>
      <c r="E36" s="3">
        <v>30.72</v>
      </c>
      <c r="F36" s="5">
        <v>32551920.350000001</v>
      </c>
      <c r="G36" s="6">
        <v>4.4999999999999998E-2</v>
      </c>
      <c r="H36" s="1">
        <v>0.01</v>
      </c>
      <c r="I36" s="1"/>
    </row>
    <row r="37" spans="1:9" x14ac:dyDescent="0.3">
      <c r="A37" s="1" t="s">
        <v>20</v>
      </c>
      <c r="B37" s="1" t="s">
        <v>19</v>
      </c>
      <c r="C37" s="1" t="s">
        <v>17</v>
      </c>
      <c r="D37" s="1">
        <v>16384</v>
      </c>
      <c r="E37" s="3">
        <v>79.459999999999994</v>
      </c>
      <c r="F37" s="5">
        <v>12585640.970000001</v>
      </c>
      <c r="G37" s="6">
        <v>5.0000000000000001E-3</v>
      </c>
      <c r="H37" s="1">
        <v>0.01</v>
      </c>
      <c r="I37" s="1"/>
    </row>
    <row r="38" spans="1:9" x14ac:dyDescent="0.3">
      <c r="A38" s="1" t="s">
        <v>20</v>
      </c>
      <c r="B38" s="1" t="s">
        <v>15</v>
      </c>
      <c r="C38" s="1" t="s">
        <v>16</v>
      </c>
      <c r="D38" s="1">
        <v>65536</v>
      </c>
      <c r="E38" s="3">
        <v>59.19</v>
      </c>
      <c r="F38" s="5">
        <v>16895733.760000002</v>
      </c>
      <c r="G38" s="6">
        <v>2.5000000000000001E-2</v>
      </c>
      <c r="H38" s="1">
        <v>0.03</v>
      </c>
      <c r="I38" s="1"/>
    </row>
    <row r="39" spans="1:9" x14ac:dyDescent="0.3">
      <c r="A39" s="1" t="s">
        <v>20</v>
      </c>
      <c r="B39" s="1" t="s">
        <v>15</v>
      </c>
      <c r="C39" s="1" t="s">
        <v>17</v>
      </c>
      <c r="D39" s="1">
        <v>65536</v>
      </c>
      <c r="E39" s="3">
        <v>94.78</v>
      </c>
      <c r="F39" s="5">
        <v>10550523.33</v>
      </c>
      <c r="G39" s="6">
        <v>6.0000000000000001E-3</v>
      </c>
      <c r="H39" s="1">
        <v>7.0000000000000007E-2</v>
      </c>
      <c r="I39" s="1"/>
    </row>
    <row r="40" spans="1:9" x14ac:dyDescent="0.3">
      <c r="A40" s="1" t="s">
        <v>20</v>
      </c>
      <c r="B40" s="1" t="s">
        <v>18</v>
      </c>
      <c r="C40" s="1" t="s">
        <v>16</v>
      </c>
      <c r="D40" s="1">
        <v>65536</v>
      </c>
      <c r="E40" s="3">
        <v>57.75</v>
      </c>
      <c r="F40" s="5">
        <v>17314818.68</v>
      </c>
      <c r="G40" s="6">
        <v>0.20100000000000001</v>
      </c>
      <c r="H40" s="1">
        <v>0.04</v>
      </c>
      <c r="I40" s="1" t="s">
        <v>39</v>
      </c>
    </row>
    <row r="41" spans="1:9" x14ac:dyDescent="0.3">
      <c r="A41" s="1" t="s">
        <v>20</v>
      </c>
      <c r="B41" s="1" t="s">
        <v>18</v>
      </c>
      <c r="C41" s="1" t="s">
        <v>17</v>
      </c>
      <c r="D41" s="1">
        <v>65536</v>
      </c>
      <c r="E41" s="3">
        <v>104.89</v>
      </c>
      <c r="F41" s="5">
        <v>9534148.2699999996</v>
      </c>
      <c r="G41" s="6">
        <v>0.03</v>
      </c>
      <c r="H41" s="1">
        <v>7.0000000000000007E-2</v>
      </c>
      <c r="I41" s="1"/>
    </row>
    <row r="42" spans="1:9" x14ac:dyDescent="0.3">
      <c r="A42" s="1" t="s">
        <v>20</v>
      </c>
      <c r="B42" s="1" t="s">
        <v>19</v>
      </c>
      <c r="C42" s="1" t="s">
        <v>16</v>
      </c>
      <c r="D42" s="1">
        <v>65536</v>
      </c>
      <c r="E42" s="3">
        <v>33.81</v>
      </c>
      <c r="F42" s="5">
        <v>29577837.920000002</v>
      </c>
      <c r="G42" s="6">
        <v>4.9000000000000002E-2</v>
      </c>
      <c r="H42" s="1">
        <v>0.04</v>
      </c>
      <c r="I42" s="1"/>
    </row>
    <row r="43" spans="1:9" x14ac:dyDescent="0.3">
      <c r="A43" s="1" t="s">
        <v>20</v>
      </c>
      <c r="B43" s="1" t="s">
        <v>19</v>
      </c>
      <c r="C43" s="1" t="s">
        <v>17</v>
      </c>
      <c r="D43" s="1">
        <v>65536</v>
      </c>
      <c r="E43" s="3">
        <v>118.81</v>
      </c>
      <c r="F43" s="5">
        <v>8416577.4299999997</v>
      </c>
      <c r="G43" s="6">
        <v>3.3000000000000002E-2</v>
      </c>
      <c r="H43" s="1">
        <v>0.08</v>
      </c>
      <c r="I43" s="1"/>
    </row>
    <row r="44" spans="1:9" x14ac:dyDescent="0.3">
      <c r="A44" s="1" t="s">
        <v>20</v>
      </c>
      <c r="B44" s="1" t="s">
        <v>15</v>
      </c>
      <c r="C44" s="1" t="s">
        <v>16</v>
      </c>
      <c r="D44" s="1">
        <v>262144</v>
      </c>
      <c r="E44" s="3">
        <v>75.22</v>
      </c>
      <c r="F44" s="5">
        <v>13294711.27</v>
      </c>
      <c r="G44" s="6">
        <v>9.6000000000000002E-2</v>
      </c>
      <c r="H44" s="1">
        <v>0.21</v>
      </c>
      <c r="I44" s="1" t="s">
        <v>39</v>
      </c>
    </row>
    <row r="45" spans="1:9" x14ac:dyDescent="0.3">
      <c r="A45" s="1" t="s">
        <v>20</v>
      </c>
      <c r="B45" s="1" t="s">
        <v>15</v>
      </c>
      <c r="C45" s="1" t="s">
        <v>17</v>
      </c>
      <c r="D45" s="1">
        <v>262144</v>
      </c>
      <c r="E45" s="3">
        <v>149.08000000000001</v>
      </c>
      <c r="F45" s="5">
        <v>6707818.79</v>
      </c>
      <c r="G45" s="6">
        <v>1.2E-2</v>
      </c>
      <c r="H45" s="1">
        <v>0.43</v>
      </c>
      <c r="I45" s="1"/>
    </row>
    <row r="46" spans="1:9" x14ac:dyDescent="0.3">
      <c r="A46" s="1" t="s">
        <v>20</v>
      </c>
      <c r="B46" s="1" t="s">
        <v>18</v>
      </c>
      <c r="C46" s="1" t="s">
        <v>16</v>
      </c>
      <c r="D46" s="1">
        <v>262144</v>
      </c>
      <c r="E46" s="3">
        <v>84.46</v>
      </c>
      <c r="F46" s="5">
        <v>11839516.35</v>
      </c>
      <c r="G46" s="6">
        <v>7.9000000000000001E-2</v>
      </c>
      <c r="H46" s="1">
        <v>0.24</v>
      </c>
      <c r="I46" s="1" t="s">
        <v>39</v>
      </c>
    </row>
    <row r="47" spans="1:9" x14ac:dyDescent="0.3">
      <c r="A47" s="1" t="s">
        <v>20</v>
      </c>
      <c r="B47" s="1" t="s">
        <v>18</v>
      </c>
      <c r="C47" s="1" t="s">
        <v>17</v>
      </c>
      <c r="D47" s="1">
        <v>262144</v>
      </c>
      <c r="E47" s="3">
        <v>191.05</v>
      </c>
      <c r="F47" s="5">
        <v>5234321.3600000003</v>
      </c>
      <c r="G47" s="6">
        <v>1.9E-2</v>
      </c>
      <c r="H47" s="1">
        <v>0.56000000000000005</v>
      </c>
      <c r="I47" s="1"/>
    </row>
    <row r="48" spans="1:9" x14ac:dyDescent="0.3">
      <c r="A48" s="1" t="s">
        <v>20</v>
      </c>
      <c r="B48" s="1" t="s">
        <v>19</v>
      </c>
      <c r="C48" s="1" t="s">
        <v>16</v>
      </c>
      <c r="D48" s="1">
        <v>262144</v>
      </c>
      <c r="E48" s="3">
        <v>43.74</v>
      </c>
      <c r="F48" s="5">
        <v>22863917.030000001</v>
      </c>
      <c r="G48" s="6">
        <v>6.6000000000000003E-2</v>
      </c>
      <c r="H48" s="1">
        <v>0.22</v>
      </c>
      <c r="I48" s="1" t="s">
        <v>39</v>
      </c>
    </row>
    <row r="49" spans="1:9" x14ac:dyDescent="0.3">
      <c r="A49" s="1" t="s">
        <v>20</v>
      </c>
      <c r="B49" s="1" t="s">
        <v>19</v>
      </c>
      <c r="C49" s="1" t="s">
        <v>17</v>
      </c>
      <c r="D49" s="1">
        <v>262144</v>
      </c>
      <c r="E49" s="3">
        <v>202.3</v>
      </c>
      <c r="F49" s="5">
        <v>4943272.88</v>
      </c>
      <c r="G49" s="6">
        <v>3.7999999999999999E-2</v>
      </c>
      <c r="H49" s="1">
        <v>0.6</v>
      </c>
      <c r="I49" s="1"/>
    </row>
    <row r="50" spans="1:9" x14ac:dyDescent="0.3">
      <c r="A50" s="1" t="s">
        <v>21</v>
      </c>
      <c r="B50" s="1" t="s">
        <v>15</v>
      </c>
      <c r="C50" s="1" t="s">
        <v>16</v>
      </c>
      <c r="D50" s="1">
        <v>4096</v>
      </c>
      <c r="E50" s="3">
        <v>17.12</v>
      </c>
      <c r="F50" s="5">
        <v>58403319.409999996</v>
      </c>
      <c r="G50" s="6">
        <v>2.5000000000000001E-2</v>
      </c>
      <c r="H50" s="1">
        <v>0</v>
      </c>
      <c r="I50" s="1"/>
    </row>
    <row r="51" spans="1:9" x14ac:dyDescent="0.3">
      <c r="A51" s="1" t="s">
        <v>21</v>
      </c>
      <c r="B51" s="1" t="s">
        <v>15</v>
      </c>
      <c r="C51" s="1" t="s">
        <v>17</v>
      </c>
      <c r="D51" s="1">
        <v>4096</v>
      </c>
      <c r="E51" s="3">
        <v>58.27</v>
      </c>
      <c r="F51" s="5">
        <v>17160189.699999999</v>
      </c>
      <c r="G51" s="6">
        <v>1.7000000000000001E-2</v>
      </c>
      <c r="H51" s="1">
        <v>0</v>
      </c>
      <c r="I51" s="1"/>
    </row>
    <row r="52" spans="1:9" x14ac:dyDescent="0.3">
      <c r="A52" s="1" t="s">
        <v>21</v>
      </c>
      <c r="B52" s="1" t="s">
        <v>18</v>
      </c>
      <c r="C52" s="1" t="s">
        <v>16</v>
      </c>
      <c r="D52" s="1">
        <v>4096</v>
      </c>
      <c r="E52" s="3">
        <v>14.62</v>
      </c>
      <c r="F52" s="5">
        <v>68413756.239999995</v>
      </c>
      <c r="G52" s="6">
        <v>0.05</v>
      </c>
      <c r="H52" s="1">
        <v>0</v>
      </c>
      <c r="I52" s="1" t="s">
        <v>39</v>
      </c>
    </row>
    <row r="53" spans="1:9" x14ac:dyDescent="0.3">
      <c r="A53" s="1" t="s">
        <v>21</v>
      </c>
      <c r="B53" s="1" t="s">
        <v>18</v>
      </c>
      <c r="C53" s="1" t="s">
        <v>17</v>
      </c>
      <c r="D53" s="1">
        <v>4096</v>
      </c>
      <c r="E53" s="3">
        <v>38.549999999999997</v>
      </c>
      <c r="F53" s="5">
        <v>25943097.460000001</v>
      </c>
      <c r="G53" s="6">
        <v>0.02</v>
      </c>
      <c r="H53" s="1">
        <v>0</v>
      </c>
      <c r="I53" s="1"/>
    </row>
    <row r="54" spans="1:9" x14ac:dyDescent="0.3">
      <c r="A54" s="1" t="s">
        <v>21</v>
      </c>
      <c r="B54" s="1" t="s">
        <v>19</v>
      </c>
      <c r="C54" s="1" t="s">
        <v>16</v>
      </c>
      <c r="D54" s="1">
        <v>4096</v>
      </c>
      <c r="E54" s="3">
        <v>20.02</v>
      </c>
      <c r="F54" s="5">
        <v>49952437.859999999</v>
      </c>
      <c r="G54" s="6">
        <v>6.5000000000000002E-2</v>
      </c>
      <c r="H54" s="1">
        <v>0</v>
      </c>
      <c r="I54" s="1" t="s">
        <v>39</v>
      </c>
    </row>
    <row r="55" spans="1:9" x14ac:dyDescent="0.3">
      <c r="A55" s="1" t="s">
        <v>21</v>
      </c>
      <c r="B55" s="1" t="s">
        <v>19</v>
      </c>
      <c r="C55" s="1" t="s">
        <v>17</v>
      </c>
      <c r="D55" s="1">
        <v>4096</v>
      </c>
      <c r="E55" s="3">
        <v>62.2</v>
      </c>
      <c r="F55" s="5">
        <v>16076804.42</v>
      </c>
      <c r="G55" s="6">
        <v>1.0999999999999999E-2</v>
      </c>
      <c r="H55" s="1">
        <v>0</v>
      </c>
      <c r="I55" s="1"/>
    </row>
    <row r="56" spans="1:9" x14ac:dyDescent="0.3">
      <c r="A56" s="1" t="s">
        <v>21</v>
      </c>
      <c r="B56" s="1" t="s">
        <v>15</v>
      </c>
      <c r="C56" s="1" t="s">
        <v>16</v>
      </c>
      <c r="D56" s="1">
        <v>16384</v>
      </c>
      <c r="E56" s="3">
        <v>18.850000000000001</v>
      </c>
      <c r="F56" s="5">
        <v>53050638.359999999</v>
      </c>
      <c r="G56" s="6">
        <v>7.0999999999999994E-2</v>
      </c>
      <c r="H56" s="1">
        <v>0</v>
      </c>
      <c r="I56" s="1" t="s">
        <v>39</v>
      </c>
    </row>
    <row r="57" spans="1:9" x14ac:dyDescent="0.3">
      <c r="A57" s="1" t="s">
        <v>21</v>
      </c>
      <c r="B57" s="1" t="s">
        <v>15</v>
      </c>
      <c r="C57" s="1" t="s">
        <v>17</v>
      </c>
      <c r="D57" s="1">
        <v>16384</v>
      </c>
      <c r="E57" s="3">
        <v>80.69</v>
      </c>
      <c r="F57" s="5">
        <v>12392368.529999999</v>
      </c>
      <c r="G57" s="6">
        <v>1.2999999999999999E-2</v>
      </c>
      <c r="H57" s="1">
        <v>0.01</v>
      </c>
      <c r="I57" s="1"/>
    </row>
    <row r="58" spans="1:9" x14ac:dyDescent="0.3">
      <c r="A58" s="1" t="s">
        <v>21</v>
      </c>
      <c r="B58" s="1" t="s">
        <v>18</v>
      </c>
      <c r="C58" s="1" t="s">
        <v>16</v>
      </c>
      <c r="D58" s="1">
        <v>16384</v>
      </c>
      <c r="E58" s="3">
        <v>15.84</v>
      </c>
      <c r="F58" s="5">
        <v>63147021.869999997</v>
      </c>
      <c r="G58" s="6">
        <v>2.7E-2</v>
      </c>
      <c r="H58" s="1">
        <v>0</v>
      </c>
      <c r="I58" s="1"/>
    </row>
    <row r="59" spans="1:9" x14ac:dyDescent="0.3">
      <c r="A59" s="1" t="s">
        <v>21</v>
      </c>
      <c r="B59" s="1" t="s">
        <v>18</v>
      </c>
      <c r="C59" s="1" t="s">
        <v>17</v>
      </c>
      <c r="D59" s="1">
        <v>16384</v>
      </c>
      <c r="E59" s="3">
        <v>54.18</v>
      </c>
      <c r="F59" s="5">
        <v>18457455.140000001</v>
      </c>
      <c r="G59" s="6">
        <v>2.1999999999999999E-2</v>
      </c>
      <c r="H59" s="1">
        <v>0.01</v>
      </c>
      <c r="I59" s="1"/>
    </row>
    <row r="60" spans="1:9" x14ac:dyDescent="0.3">
      <c r="A60" s="1" t="s">
        <v>21</v>
      </c>
      <c r="B60" s="1" t="s">
        <v>19</v>
      </c>
      <c r="C60" s="1" t="s">
        <v>16</v>
      </c>
      <c r="D60" s="1">
        <v>16384</v>
      </c>
      <c r="E60" s="3">
        <v>23.27</v>
      </c>
      <c r="F60" s="5">
        <v>42978710.009999998</v>
      </c>
      <c r="G60" s="6">
        <v>2.7E-2</v>
      </c>
      <c r="H60" s="1">
        <v>0</v>
      </c>
      <c r="I60" s="1"/>
    </row>
    <row r="61" spans="1:9" x14ac:dyDescent="0.3">
      <c r="A61" s="1" t="s">
        <v>21</v>
      </c>
      <c r="B61" s="1" t="s">
        <v>19</v>
      </c>
      <c r="C61" s="1" t="s">
        <v>17</v>
      </c>
      <c r="D61" s="1">
        <v>16384</v>
      </c>
      <c r="E61" s="3">
        <v>81.12</v>
      </c>
      <c r="F61" s="5">
        <v>12326721.310000001</v>
      </c>
      <c r="G61" s="6">
        <v>1.2E-2</v>
      </c>
      <c r="H61" s="1">
        <v>0.01</v>
      </c>
      <c r="I61" s="1"/>
    </row>
    <row r="62" spans="1:9" x14ac:dyDescent="0.3">
      <c r="A62" s="1" t="s">
        <v>21</v>
      </c>
      <c r="B62" s="1" t="s">
        <v>15</v>
      </c>
      <c r="C62" s="1" t="s">
        <v>16</v>
      </c>
      <c r="D62" s="1">
        <v>65536</v>
      </c>
      <c r="E62" s="3">
        <v>19.91</v>
      </c>
      <c r="F62" s="5">
        <v>50221735.520000003</v>
      </c>
      <c r="G62" s="6">
        <v>3.3000000000000002E-2</v>
      </c>
      <c r="H62" s="1">
        <v>0.01</v>
      </c>
      <c r="I62" s="1"/>
    </row>
    <row r="63" spans="1:9" x14ac:dyDescent="0.3">
      <c r="A63" s="1" t="s">
        <v>21</v>
      </c>
      <c r="B63" s="1" t="s">
        <v>15</v>
      </c>
      <c r="C63" s="1" t="s">
        <v>17</v>
      </c>
      <c r="D63" s="1">
        <v>65536</v>
      </c>
      <c r="E63" s="3">
        <v>122.61</v>
      </c>
      <c r="F63" s="5">
        <v>8156166.9000000004</v>
      </c>
      <c r="G63" s="6">
        <v>0.03</v>
      </c>
      <c r="H63" s="1">
        <v>0.09</v>
      </c>
      <c r="I63" s="1"/>
    </row>
    <row r="64" spans="1:9" x14ac:dyDescent="0.3">
      <c r="A64" s="1" t="s">
        <v>21</v>
      </c>
      <c r="B64" s="1" t="s">
        <v>18</v>
      </c>
      <c r="C64" s="1" t="s">
        <v>16</v>
      </c>
      <c r="D64" s="1">
        <v>65536</v>
      </c>
      <c r="E64" s="3">
        <v>36.770000000000003</v>
      </c>
      <c r="F64" s="5">
        <v>27196599.760000002</v>
      </c>
      <c r="G64" s="6">
        <v>7.3999999999999996E-2</v>
      </c>
      <c r="H64" s="1">
        <v>0.03</v>
      </c>
      <c r="I64" s="1" t="s">
        <v>39</v>
      </c>
    </row>
    <row r="65" spans="1:9" x14ac:dyDescent="0.3">
      <c r="A65" s="1" t="s">
        <v>21</v>
      </c>
      <c r="B65" s="1" t="s">
        <v>18</v>
      </c>
      <c r="C65" s="1" t="s">
        <v>17</v>
      </c>
      <c r="D65" s="1">
        <v>65536</v>
      </c>
      <c r="E65" s="3">
        <v>100.25</v>
      </c>
      <c r="F65" s="5">
        <v>9974629.6500000004</v>
      </c>
      <c r="G65" s="6">
        <v>2.7E-2</v>
      </c>
      <c r="H65" s="1">
        <v>7.0000000000000007E-2</v>
      </c>
      <c r="I65" s="1"/>
    </row>
    <row r="66" spans="1:9" x14ac:dyDescent="0.3">
      <c r="A66" s="1" t="s">
        <v>21</v>
      </c>
      <c r="B66" s="1" t="s">
        <v>19</v>
      </c>
      <c r="C66" s="1" t="s">
        <v>16</v>
      </c>
      <c r="D66" s="1">
        <v>65536</v>
      </c>
      <c r="E66" s="3">
        <v>28.81</v>
      </c>
      <c r="F66" s="5">
        <v>34713316.920000002</v>
      </c>
      <c r="G66" s="6">
        <v>1.7000000000000001E-2</v>
      </c>
      <c r="H66" s="1">
        <v>0.02</v>
      </c>
      <c r="I66" s="1"/>
    </row>
    <row r="67" spans="1:9" x14ac:dyDescent="0.3">
      <c r="A67" s="1" t="s">
        <v>21</v>
      </c>
      <c r="B67" s="1" t="s">
        <v>19</v>
      </c>
      <c r="C67" s="1" t="s">
        <v>17</v>
      </c>
      <c r="D67" s="1">
        <v>65536</v>
      </c>
      <c r="E67" s="3">
        <v>124.74</v>
      </c>
      <c r="F67" s="5">
        <v>8016445.8499999996</v>
      </c>
      <c r="G67" s="6">
        <v>0.01</v>
      </c>
      <c r="H67" s="1">
        <v>0.09</v>
      </c>
      <c r="I67" s="1"/>
    </row>
    <row r="68" spans="1:9" x14ac:dyDescent="0.3">
      <c r="A68" s="1" t="s">
        <v>21</v>
      </c>
      <c r="B68" s="1" t="s">
        <v>15</v>
      </c>
      <c r="C68" s="1" t="s">
        <v>16</v>
      </c>
      <c r="D68" s="1">
        <v>262144</v>
      </c>
      <c r="E68" s="3">
        <v>24.07</v>
      </c>
      <c r="F68" s="5">
        <v>41547593.329999998</v>
      </c>
      <c r="G68" s="6">
        <v>0.11</v>
      </c>
      <c r="H68" s="1">
        <v>7.0000000000000007E-2</v>
      </c>
      <c r="I68" s="1" t="s">
        <v>39</v>
      </c>
    </row>
    <row r="69" spans="1:9" x14ac:dyDescent="0.3">
      <c r="A69" s="1" t="s">
        <v>21</v>
      </c>
      <c r="B69" s="1" t="s">
        <v>15</v>
      </c>
      <c r="C69" s="1" t="s">
        <v>17</v>
      </c>
      <c r="D69" s="1">
        <v>262144</v>
      </c>
      <c r="E69" s="3">
        <v>206.24</v>
      </c>
      <c r="F69" s="5">
        <v>4848761.24</v>
      </c>
      <c r="G69" s="6">
        <v>0.02</v>
      </c>
      <c r="H69" s="1">
        <v>0.59</v>
      </c>
      <c r="I69" s="1"/>
    </row>
    <row r="70" spans="1:9" x14ac:dyDescent="0.3">
      <c r="A70" s="1" t="s">
        <v>21</v>
      </c>
      <c r="B70" s="1" t="s">
        <v>18</v>
      </c>
      <c r="C70" s="1" t="s">
        <v>16</v>
      </c>
      <c r="D70" s="1">
        <v>262144</v>
      </c>
      <c r="E70" s="3">
        <v>40.67</v>
      </c>
      <c r="F70" s="5">
        <v>24587367.82</v>
      </c>
      <c r="G70" s="6">
        <v>7.0000000000000007E-2</v>
      </c>
      <c r="H70" s="1">
        <v>0.12</v>
      </c>
      <c r="I70" s="1" t="s">
        <v>39</v>
      </c>
    </row>
    <row r="71" spans="1:9" x14ac:dyDescent="0.3">
      <c r="A71" s="1" t="s">
        <v>21</v>
      </c>
      <c r="B71" s="1" t="s">
        <v>18</v>
      </c>
      <c r="C71" s="1" t="s">
        <v>17</v>
      </c>
      <c r="D71" s="1">
        <v>262144</v>
      </c>
      <c r="E71" s="3">
        <v>170.65</v>
      </c>
      <c r="F71" s="5">
        <v>5859794.3399999999</v>
      </c>
      <c r="G71" s="6">
        <v>5.6000000000000001E-2</v>
      </c>
      <c r="H71" s="1">
        <v>0.49</v>
      </c>
      <c r="I71" s="1" t="s">
        <v>39</v>
      </c>
    </row>
    <row r="72" spans="1:9" x14ac:dyDescent="0.3">
      <c r="A72" s="1" t="s">
        <v>21</v>
      </c>
      <c r="B72" s="1" t="s">
        <v>19</v>
      </c>
      <c r="C72" s="1" t="s">
        <v>16</v>
      </c>
      <c r="D72" s="1">
        <v>262144</v>
      </c>
      <c r="E72" s="3">
        <v>32.08</v>
      </c>
      <c r="F72" s="5">
        <v>31167679.890000001</v>
      </c>
      <c r="G72" s="6">
        <v>1.9E-2</v>
      </c>
      <c r="H72" s="1">
        <v>0.09</v>
      </c>
      <c r="I72" s="1"/>
    </row>
    <row r="73" spans="1:9" x14ac:dyDescent="0.3">
      <c r="A73" s="1" t="s">
        <v>21</v>
      </c>
      <c r="B73" s="1" t="s">
        <v>19</v>
      </c>
      <c r="C73" s="1" t="s">
        <v>17</v>
      </c>
      <c r="D73" s="1">
        <v>262144</v>
      </c>
      <c r="E73" s="3">
        <v>209.22</v>
      </c>
      <c r="F73" s="5">
        <v>4779680.2300000004</v>
      </c>
      <c r="G73" s="6">
        <v>1.2999999999999999E-2</v>
      </c>
      <c r="H73" s="1">
        <v>0.63</v>
      </c>
      <c r="I7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3"/>
  <sheetViews>
    <sheetView zoomScaleNormal="100" workbookViewId="0">
      <pane ySplit="1" topLeftCell="A53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8" customWidth="1"/>
    <col min="4" max="4" width="9" customWidth="1"/>
    <col min="5" max="5" width="10" customWidth="1"/>
    <col min="6" max="6" width="14" customWidth="1"/>
    <col min="7" max="7" width="8" customWidth="1"/>
    <col min="8" max="9" width="10" customWidth="1"/>
  </cols>
  <sheetData>
    <row r="1" spans="1:9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spans="1:9" x14ac:dyDescent="0.3">
      <c r="A2" s="1" t="s">
        <v>14</v>
      </c>
      <c r="B2" s="1" t="s">
        <v>15</v>
      </c>
      <c r="C2" s="1" t="s">
        <v>16</v>
      </c>
      <c r="D2" s="1">
        <v>4096</v>
      </c>
      <c r="E2" s="3">
        <v>47.49</v>
      </c>
      <c r="F2" s="5">
        <v>21056773.899999999</v>
      </c>
      <c r="G2" s="6">
        <v>5.0000000000000001E-3</v>
      </c>
      <c r="H2" s="1">
        <v>0.12</v>
      </c>
      <c r="I2" s="1"/>
    </row>
    <row r="3" spans="1:9" x14ac:dyDescent="0.3">
      <c r="A3" s="1" t="s">
        <v>14</v>
      </c>
      <c r="B3" s="1" t="s">
        <v>15</v>
      </c>
      <c r="C3" s="1" t="s">
        <v>17</v>
      </c>
      <c r="D3" s="1">
        <v>4096</v>
      </c>
      <c r="E3" s="3">
        <v>41.27</v>
      </c>
      <c r="F3" s="5">
        <v>24232521.109999999</v>
      </c>
      <c r="G3" s="6">
        <v>2E-3</v>
      </c>
      <c r="H3" s="1">
        <v>0.1</v>
      </c>
      <c r="I3" s="1"/>
    </row>
    <row r="4" spans="1:9" x14ac:dyDescent="0.3">
      <c r="A4" s="1" t="s">
        <v>14</v>
      </c>
      <c r="B4" s="1" t="s">
        <v>18</v>
      </c>
      <c r="C4" s="1" t="s">
        <v>16</v>
      </c>
      <c r="D4" s="1">
        <v>4096</v>
      </c>
      <c r="E4" s="3">
        <v>13.03</v>
      </c>
      <c r="F4" s="5">
        <v>76769934.879999995</v>
      </c>
      <c r="G4" s="6">
        <v>7.0000000000000001E-3</v>
      </c>
      <c r="H4" s="1">
        <v>0.03</v>
      </c>
      <c r="I4" s="1"/>
    </row>
    <row r="5" spans="1:9" x14ac:dyDescent="0.3">
      <c r="A5" s="1" t="s">
        <v>14</v>
      </c>
      <c r="B5" s="1" t="s">
        <v>18</v>
      </c>
      <c r="C5" s="1" t="s">
        <v>17</v>
      </c>
      <c r="D5" s="1">
        <v>4096</v>
      </c>
      <c r="E5" s="3">
        <v>13.19</v>
      </c>
      <c r="F5" s="5">
        <v>75795068.930000007</v>
      </c>
      <c r="G5" s="6">
        <v>5.0000000000000001E-3</v>
      </c>
      <c r="H5" s="1">
        <v>0.03</v>
      </c>
      <c r="I5" s="1"/>
    </row>
    <row r="6" spans="1:9" x14ac:dyDescent="0.3">
      <c r="A6" s="1" t="s">
        <v>14</v>
      </c>
      <c r="B6" s="1" t="s">
        <v>19</v>
      </c>
      <c r="C6" s="1" t="s">
        <v>16</v>
      </c>
      <c r="D6" s="1">
        <v>4096</v>
      </c>
      <c r="E6" s="3">
        <v>9.7799999999999994</v>
      </c>
      <c r="F6" s="5">
        <v>102264400.95999999</v>
      </c>
      <c r="G6" s="6">
        <v>7.0000000000000001E-3</v>
      </c>
      <c r="H6" s="1">
        <v>0.02</v>
      </c>
      <c r="I6" s="1"/>
    </row>
    <row r="7" spans="1:9" x14ac:dyDescent="0.3">
      <c r="A7" s="1" t="s">
        <v>14</v>
      </c>
      <c r="B7" s="1" t="s">
        <v>19</v>
      </c>
      <c r="C7" s="1" t="s">
        <v>17</v>
      </c>
      <c r="D7" s="1">
        <v>4096</v>
      </c>
      <c r="E7" s="3">
        <v>11.87</v>
      </c>
      <c r="F7" s="5">
        <v>84215480.519999996</v>
      </c>
      <c r="G7" s="6">
        <v>2.5999999999999999E-2</v>
      </c>
      <c r="H7" s="1">
        <v>0.03</v>
      </c>
      <c r="I7" s="1"/>
    </row>
    <row r="8" spans="1:9" x14ac:dyDescent="0.3">
      <c r="A8" s="1" t="s">
        <v>14</v>
      </c>
      <c r="B8" s="1" t="s">
        <v>15</v>
      </c>
      <c r="C8" s="1" t="s">
        <v>16</v>
      </c>
      <c r="D8" s="1">
        <v>16384</v>
      </c>
      <c r="E8" s="3">
        <v>66.88</v>
      </c>
      <c r="F8" s="5">
        <v>14952345.59</v>
      </c>
      <c r="G8" s="6">
        <v>4.0000000000000001E-3</v>
      </c>
      <c r="H8" s="1">
        <v>0.15</v>
      </c>
      <c r="I8" s="1"/>
    </row>
    <row r="9" spans="1:9" x14ac:dyDescent="0.3">
      <c r="A9" s="1" t="s">
        <v>14</v>
      </c>
      <c r="B9" s="1" t="s">
        <v>15</v>
      </c>
      <c r="C9" s="1" t="s">
        <v>17</v>
      </c>
      <c r="D9" s="1">
        <v>16384</v>
      </c>
      <c r="E9" s="3">
        <v>60.31</v>
      </c>
      <c r="F9" s="5">
        <v>16580343.43</v>
      </c>
      <c r="G9" s="6">
        <v>5.0000000000000001E-3</v>
      </c>
      <c r="H9" s="1">
        <v>0.15</v>
      </c>
      <c r="I9" s="1"/>
    </row>
    <row r="10" spans="1:9" x14ac:dyDescent="0.3">
      <c r="A10" s="1" t="s">
        <v>14</v>
      </c>
      <c r="B10" s="1" t="s">
        <v>18</v>
      </c>
      <c r="C10" s="1" t="s">
        <v>16</v>
      </c>
      <c r="D10" s="1">
        <v>16384</v>
      </c>
      <c r="E10" s="3">
        <v>27.04</v>
      </c>
      <c r="F10" s="5">
        <v>36980092.229999997</v>
      </c>
      <c r="G10" s="6">
        <v>2E-3</v>
      </c>
      <c r="H10" s="1">
        <v>7.0000000000000007E-2</v>
      </c>
      <c r="I10" s="1"/>
    </row>
    <row r="11" spans="1:9" x14ac:dyDescent="0.3">
      <c r="A11" s="1" t="s">
        <v>14</v>
      </c>
      <c r="B11" s="1" t="s">
        <v>18</v>
      </c>
      <c r="C11" s="1" t="s">
        <v>17</v>
      </c>
      <c r="D11" s="1">
        <v>16384</v>
      </c>
      <c r="E11" s="3">
        <v>24.47</v>
      </c>
      <c r="F11" s="5">
        <v>40861658.490000002</v>
      </c>
      <c r="G11" s="6">
        <v>0.01</v>
      </c>
      <c r="H11" s="1">
        <v>0.06</v>
      </c>
      <c r="I11" s="1"/>
    </row>
    <row r="12" spans="1:9" x14ac:dyDescent="0.3">
      <c r="A12" s="1" t="s">
        <v>14</v>
      </c>
      <c r="B12" s="1" t="s">
        <v>19</v>
      </c>
      <c r="C12" s="1" t="s">
        <v>16</v>
      </c>
      <c r="D12" s="1">
        <v>16384</v>
      </c>
      <c r="E12" s="3">
        <v>18.87</v>
      </c>
      <c r="F12" s="5">
        <v>53004842.359999999</v>
      </c>
      <c r="G12" s="6">
        <v>1.7000000000000001E-2</v>
      </c>
      <c r="H12" s="1">
        <v>0.05</v>
      </c>
      <c r="I12" s="1"/>
    </row>
    <row r="13" spans="1:9" x14ac:dyDescent="0.3">
      <c r="A13" s="1" t="s">
        <v>14</v>
      </c>
      <c r="B13" s="1" t="s">
        <v>19</v>
      </c>
      <c r="C13" s="1" t="s">
        <v>17</v>
      </c>
      <c r="D13" s="1">
        <v>16384</v>
      </c>
      <c r="E13" s="3">
        <v>22.19</v>
      </c>
      <c r="F13" s="5">
        <v>45070405.25</v>
      </c>
      <c r="G13" s="6">
        <v>8.0000000000000002E-3</v>
      </c>
      <c r="H13" s="1">
        <v>0.05</v>
      </c>
      <c r="I13" s="1"/>
    </row>
    <row r="14" spans="1:9" x14ac:dyDescent="0.3">
      <c r="A14" s="1" t="s">
        <v>14</v>
      </c>
      <c r="B14" s="1" t="s">
        <v>15</v>
      </c>
      <c r="C14" s="1" t="s">
        <v>16</v>
      </c>
      <c r="D14" s="1">
        <v>65536</v>
      </c>
      <c r="E14" s="3">
        <v>98.79</v>
      </c>
      <c r="F14" s="5">
        <v>10122728.960000001</v>
      </c>
      <c r="G14" s="6">
        <v>8.0000000000000002E-3</v>
      </c>
      <c r="H14" s="1">
        <v>0.24</v>
      </c>
      <c r="I14" s="1"/>
    </row>
    <row r="15" spans="1:9" x14ac:dyDescent="0.3">
      <c r="A15" s="1" t="s">
        <v>14</v>
      </c>
      <c r="B15" s="1" t="s">
        <v>15</v>
      </c>
      <c r="C15" s="1" t="s">
        <v>17</v>
      </c>
      <c r="D15" s="1">
        <v>65536</v>
      </c>
      <c r="E15" s="3">
        <v>94.91</v>
      </c>
      <c r="F15" s="5">
        <v>10535925.01</v>
      </c>
      <c r="G15" s="6">
        <v>3.0000000000000001E-3</v>
      </c>
      <c r="H15" s="1">
        <v>0.23</v>
      </c>
      <c r="I15" s="1"/>
    </row>
    <row r="16" spans="1:9" x14ac:dyDescent="0.3">
      <c r="A16" s="1" t="s">
        <v>14</v>
      </c>
      <c r="B16" s="1" t="s">
        <v>18</v>
      </c>
      <c r="C16" s="1" t="s">
        <v>16</v>
      </c>
      <c r="D16" s="1">
        <v>65536</v>
      </c>
      <c r="E16" s="3">
        <v>40.4</v>
      </c>
      <c r="F16" s="5">
        <v>24752362.600000001</v>
      </c>
      <c r="G16" s="6">
        <v>6.0000000000000001E-3</v>
      </c>
      <c r="H16" s="1">
        <v>0.1</v>
      </c>
      <c r="I16" s="1"/>
    </row>
    <row r="17" spans="1:9" x14ac:dyDescent="0.3">
      <c r="A17" s="1" t="s">
        <v>14</v>
      </c>
      <c r="B17" s="1" t="s">
        <v>18</v>
      </c>
      <c r="C17" s="1" t="s">
        <v>17</v>
      </c>
      <c r="D17" s="1">
        <v>65536</v>
      </c>
      <c r="E17" s="3">
        <v>36.31</v>
      </c>
      <c r="F17" s="5">
        <v>27542404.609999999</v>
      </c>
      <c r="G17" s="6">
        <v>6.0000000000000001E-3</v>
      </c>
      <c r="H17" s="1">
        <v>0.09</v>
      </c>
      <c r="I17" s="1"/>
    </row>
    <row r="18" spans="1:9" x14ac:dyDescent="0.3">
      <c r="A18" s="1" t="s">
        <v>14</v>
      </c>
      <c r="B18" s="1" t="s">
        <v>19</v>
      </c>
      <c r="C18" s="1" t="s">
        <v>16</v>
      </c>
      <c r="D18" s="1">
        <v>65536</v>
      </c>
      <c r="E18" s="3">
        <v>26.57</v>
      </c>
      <c r="F18" s="5">
        <v>37641491.979999997</v>
      </c>
      <c r="G18" s="6">
        <v>0.01</v>
      </c>
      <c r="H18" s="1">
        <v>0.06</v>
      </c>
      <c r="I18" s="1"/>
    </row>
    <row r="19" spans="1:9" x14ac:dyDescent="0.3">
      <c r="A19" s="1" t="s">
        <v>14</v>
      </c>
      <c r="B19" s="1" t="s">
        <v>19</v>
      </c>
      <c r="C19" s="1" t="s">
        <v>17</v>
      </c>
      <c r="D19" s="1">
        <v>65536</v>
      </c>
      <c r="E19" s="3">
        <v>30.19</v>
      </c>
      <c r="F19" s="5">
        <v>33121748.719999999</v>
      </c>
      <c r="G19" s="6">
        <v>7.0000000000000001E-3</v>
      </c>
      <c r="H19" s="1">
        <v>7.0000000000000007E-2</v>
      </c>
      <c r="I19" s="1"/>
    </row>
    <row r="20" spans="1:9" x14ac:dyDescent="0.3">
      <c r="A20" s="1" t="s">
        <v>14</v>
      </c>
      <c r="B20" s="1" t="s">
        <v>15</v>
      </c>
      <c r="C20" s="1" t="s">
        <v>16</v>
      </c>
      <c r="D20" s="1">
        <v>262144</v>
      </c>
      <c r="E20" s="3">
        <v>176.54</v>
      </c>
      <c r="F20" s="5">
        <v>5664405.6500000004</v>
      </c>
      <c r="G20" s="6">
        <v>6.0000000000000001E-3</v>
      </c>
      <c r="H20" s="1">
        <v>0.43</v>
      </c>
      <c r="I20" s="1"/>
    </row>
    <row r="21" spans="1:9" x14ac:dyDescent="0.3">
      <c r="A21" s="1" t="s">
        <v>14</v>
      </c>
      <c r="B21" s="1" t="s">
        <v>15</v>
      </c>
      <c r="C21" s="1" t="s">
        <v>17</v>
      </c>
      <c r="D21" s="1">
        <v>262144</v>
      </c>
      <c r="E21" s="3">
        <v>172.79</v>
      </c>
      <c r="F21" s="5">
        <v>5787538.29</v>
      </c>
      <c r="G21" s="6">
        <v>1.6E-2</v>
      </c>
      <c r="H21" s="1">
        <v>0.45</v>
      </c>
      <c r="I21" s="1"/>
    </row>
    <row r="22" spans="1:9" x14ac:dyDescent="0.3">
      <c r="A22" s="1" t="s">
        <v>14</v>
      </c>
      <c r="B22" s="1" t="s">
        <v>18</v>
      </c>
      <c r="C22" s="1" t="s">
        <v>16</v>
      </c>
      <c r="D22" s="1">
        <v>262144</v>
      </c>
      <c r="E22" s="3">
        <v>78.5</v>
      </c>
      <c r="F22" s="5">
        <v>12739085.32</v>
      </c>
      <c r="G22" s="6">
        <v>0.01</v>
      </c>
      <c r="H22" s="1">
        <v>0.19</v>
      </c>
      <c r="I22" s="1"/>
    </row>
    <row r="23" spans="1:9" x14ac:dyDescent="0.3">
      <c r="A23" s="1" t="s">
        <v>14</v>
      </c>
      <c r="B23" s="1" t="s">
        <v>18</v>
      </c>
      <c r="C23" s="1" t="s">
        <v>17</v>
      </c>
      <c r="D23" s="1">
        <v>262144</v>
      </c>
      <c r="E23" s="3">
        <v>70.87</v>
      </c>
      <c r="F23" s="5">
        <v>14110422.16</v>
      </c>
      <c r="G23" s="6">
        <v>4.0000000000000001E-3</v>
      </c>
      <c r="H23" s="1">
        <v>0.16</v>
      </c>
      <c r="I23" s="1"/>
    </row>
    <row r="24" spans="1:9" x14ac:dyDescent="0.3">
      <c r="A24" s="1" t="s">
        <v>14</v>
      </c>
      <c r="B24" s="1" t="s">
        <v>19</v>
      </c>
      <c r="C24" s="1" t="s">
        <v>16</v>
      </c>
      <c r="D24" s="1">
        <v>262144</v>
      </c>
      <c r="E24" s="3">
        <v>48.64</v>
      </c>
      <c r="F24" s="5">
        <v>20558684.559999999</v>
      </c>
      <c r="G24" s="6">
        <v>8.0000000000000002E-3</v>
      </c>
      <c r="H24" s="1">
        <v>0.12</v>
      </c>
      <c r="I24" s="1"/>
    </row>
    <row r="25" spans="1:9" x14ac:dyDescent="0.3">
      <c r="A25" s="1" t="s">
        <v>14</v>
      </c>
      <c r="B25" s="1" t="s">
        <v>19</v>
      </c>
      <c r="C25" s="1" t="s">
        <v>17</v>
      </c>
      <c r="D25" s="1">
        <v>262144</v>
      </c>
      <c r="E25" s="3">
        <v>50.98</v>
      </c>
      <c r="F25" s="5">
        <v>19614613.640000001</v>
      </c>
      <c r="G25" s="6">
        <v>5.0000000000000001E-3</v>
      </c>
      <c r="H25" s="1">
        <v>0.12</v>
      </c>
      <c r="I25" s="1"/>
    </row>
    <row r="26" spans="1:9" x14ac:dyDescent="0.3">
      <c r="A26" s="1" t="s">
        <v>20</v>
      </c>
      <c r="B26" s="1" t="s">
        <v>15</v>
      </c>
      <c r="C26" s="1" t="s">
        <v>16</v>
      </c>
      <c r="D26" s="1">
        <v>4096</v>
      </c>
      <c r="E26" s="3">
        <v>19.559999999999999</v>
      </c>
      <c r="F26" s="5">
        <v>51134803.130000003</v>
      </c>
      <c r="G26" s="6">
        <v>2.7E-2</v>
      </c>
      <c r="H26" s="1">
        <v>0</v>
      </c>
      <c r="I26" s="1"/>
    </row>
    <row r="27" spans="1:9" x14ac:dyDescent="0.3">
      <c r="A27" s="1" t="s">
        <v>20</v>
      </c>
      <c r="B27" s="1" t="s">
        <v>15</v>
      </c>
      <c r="C27" s="1" t="s">
        <v>17</v>
      </c>
      <c r="D27" s="1">
        <v>4096</v>
      </c>
      <c r="E27" s="3">
        <v>55.66</v>
      </c>
      <c r="F27" s="5">
        <v>17965936.649999999</v>
      </c>
      <c r="G27" s="6">
        <v>1.2E-2</v>
      </c>
      <c r="H27" s="1">
        <v>0</v>
      </c>
      <c r="I27" s="1"/>
    </row>
    <row r="28" spans="1:9" x14ac:dyDescent="0.3">
      <c r="A28" s="1" t="s">
        <v>20</v>
      </c>
      <c r="B28" s="1" t="s">
        <v>18</v>
      </c>
      <c r="C28" s="1" t="s">
        <v>16</v>
      </c>
      <c r="D28" s="1">
        <v>4096</v>
      </c>
      <c r="E28" s="3">
        <v>22.47</v>
      </c>
      <c r="F28" s="5">
        <v>44511095.170000002</v>
      </c>
      <c r="G28" s="6">
        <v>1.7999999999999999E-2</v>
      </c>
      <c r="H28" s="1">
        <v>0</v>
      </c>
      <c r="I28" s="1"/>
    </row>
    <row r="29" spans="1:9" x14ac:dyDescent="0.3">
      <c r="A29" s="1" t="s">
        <v>20</v>
      </c>
      <c r="B29" s="1" t="s">
        <v>18</v>
      </c>
      <c r="C29" s="1" t="s">
        <v>17</v>
      </c>
      <c r="D29" s="1">
        <v>4096</v>
      </c>
      <c r="E29" s="3">
        <v>38.21</v>
      </c>
      <c r="F29" s="5">
        <v>26170350.07</v>
      </c>
      <c r="G29" s="6">
        <v>5.3999999999999999E-2</v>
      </c>
      <c r="H29" s="1">
        <v>0</v>
      </c>
      <c r="I29" s="1" t="s">
        <v>39</v>
      </c>
    </row>
    <row r="30" spans="1:9" x14ac:dyDescent="0.3">
      <c r="A30" s="1" t="s">
        <v>20</v>
      </c>
      <c r="B30" s="1" t="s">
        <v>19</v>
      </c>
      <c r="C30" s="1" t="s">
        <v>16</v>
      </c>
      <c r="D30" s="1">
        <v>4096</v>
      </c>
      <c r="E30" s="3">
        <v>25.49</v>
      </c>
      <c r="F30" s="5">
        <v>39232964.890000001</v>
      </c>
      <c r="G30" s="6">
        <v>1.7000000000000001E-2</v>
      </c>
      <c r="H30" s="1">
        <v>0</v>
      </c>
      <c r="I30" s="1"/>
    </row>
    <row r="31" spans="1:9" x14ac:dyDescent="0.3">
      <c r="A31" s="1" t="s">
        <v>20</v>
      </c>
      <c r="B31" s="1" t="s">
        <v>19</v>
      </c>
      <c r="C31" s="1" t="s">
        <v>17</v>
      </c>
      <c r="D31" s="1">
        <v>4096</v>
      </c>
      <c r="E31" s="3">
        <v>64</v>
      </c>
      <c r="F31" s="5">
        <v>15623808</v>
      </c>
      <c r="G31" s="6">
        <v>2.1000000000000001E-2</v>
      </c>
      <c r="H31" s="1">
        <v>0</v>
      </c>
      <c r="I31" s="1"/>
    </row>
    <row r="32" spans="1:9" x14ac:dyDescent="0.3">
      <c r="A32" s="1" t="s">
        <v>20</v>
      </c>
      <c r="B32" s="1" t="s">
        <v>15</v>
      </c>
      <c r="C32" s="1" t="s">
        <v>16</v>
      </c>
      <c r="D32" s="1">
        <v>16384</v>
      </c>
      <c r="E32" s="3">
        <v>23.71</v>
      </c>
      <c r="F32" s="5">
        <v>42168767.729999997</v>
      </c>
      <c r="G32" s="6">
        <v>5.8000000000000003E-2</v>
      </c>
      <c r="H32" s="1">
        <v>0</v>
      </c>
      <c r="I32" s="1" t="s">
        <v>39</v>
      </c>
    </row>
    <row r="33" spans="1:9" x14ac:dyDescent="0.3">
      <c r="A33" s="1" t="s">
        <v>20</v>
      </c>
      <c r="B33" s="1" t="s">
        <v>15</v>
      </c>
      <c r="C33" s="1" t="s">
        <v>17</v>
      </c>
      <c r="D33" s="1">
        <v>16384</v>
      </c>
      <c r="E33" s="3">
        <v>73.89</v>
      </c>
      <c r="F33" s="5">
        <v>13534511.6</v>
      </c>
      <c r="G33" s="6">
        <v>1.0999999999999999E-2</v>
      </c>
      <c r="H33" s="1">
        <v>0.01</v>
      </c>
      <c r="I33" s="1"/>
    </row>
    <row r="34" spans="1:9" x14ac:dyDescent="0.3">
      <c r="A34" s="1" t="s">
        <v>20</v>
      </c>
      <c r="B34" s="1" t="s">
        <v>18</v>
      </c>
      <c r="C34" s="1" t="s">
        <v>16</v>
      </c>
      <c r="D34" s="1">
        <v>16384</v>
      </c>
      <c r="E34" s="3">
        <v>57.8</v>
      </c>
      <c r="F34" s="5">
        <v>17300530.190000001</v>
      </c>
      <c r="G34" s="6">
        <v>0.215</v>
      </c>
      <c r="H34" s="1">
        <v>0.01</v>
      </c>
      <c r="I34" s="1" t="s">
        <v>39</v>
      </c>
    </row>
    <row r="35" spans="1:9" x14ac:dyDescent="0.3">
      <c r="A35" s="1" t="s">
        <v>20</v>
      </c>
      <c r="B35" s="1" t="s">
        <v>18</v>
      </c>
      <c r="C35" s="1" t="s">
        <v>17</v>
      </c>
      <c r="D35" s="1">
        <v>16384</v>
      </c>
      <c r="E35" s="3">
        <v>89.04</v>
      </c>
      <c r="F35" s="5">
        <v>11231156.59</v>
      </c>
      <c r="G35" s="6">
        <v>0.126</v>
      </c>
      <c r="H35" s="1">
        <v>0.02</v>
      </c>
      <c r="I35" s="1" t="s">
        <v>39</v>
      </c>
    </row>
    <row r="36" spans="1:9" x14ac:dyDescent="0.3">
      <c r="A36" s="1" t="s">
        <v>20</v>
      </c>
      <c r="B36" s="1" t="s">
        <v>19</v>
      </c>
      <c r="C36" s="1" t="s">
        <v>16</v>
      </c>
      <c r="D36" s="1">
        <v>16384</v>
      </c>
      <c r="E36" s="3">
        <v>30.82</v>
      </c>
      <c r="F36" s="5">
        <v>32441444.420000002</v>
      </c>
      <c r="G36" s="6">
        <v>3.1E-2</v>
      </c>
      <c r="H36" s="1">
        <v>0.01</v>
      </c>
      <c r="I36" s="1"/>
    </row>
    <row r="37" spans="1:9" x14ac:dyDescent="0.3">
      <c r="A37" s="1" t="s">
        <v>20</v>
      </c>
      <c r="B37" s="1" t="s">
        <v>19</v>
      </c>
      <c r="C37" s="1" t="s">
        <v>17</v>
      </c>
      <c r="D37" s="1">
        <v>16384</v>
      </c>
      <c r="E37" s="3">
        <v>85.19</v>
      </c>
      <c r="F37" s="5">
        <v>11739089</v>
      </c>
      <c r="G37" s="6">
        <v>3.4000000000000002E-2</v>
      </c>
      <c r="H37" s="1">
        <v>0.02</v>
      </c>
      <c r="I37" s="1"/>
    </row>
    <row r="38" spans="1:9" x14ac:dyDescent="0.3">
      <c r="A38" s="1" t="s">
        <v>20</v>
      </c>
      <c r="B38" s="1" t="s">
        <v>15</v>
      </c>
      <c r="C38" s="1" t="s">
        <v>16</v>
      </c>
      <c r="D38" s="1">
        <v>65536</v>
      </c>
      <c r="E38" s="3">
        <v>59.34</v>
      </c>
      <c r="F38" s="5">
        <v>16851368.489999998</v>
      </c>
      <c r="G38" s="6">
        <v>2.5999999999999999E-2</v>
      </c>
      <c r="H38" s="1">
        <v>0.04</v>
      </c>
      <c r="I38" s="1"/>
    </row>
    <row r="39" spans="1:9" x14ac:dyDescent="0.3">
      <c r="A39" s="1" t="s">
        <v>20</v>
      </c>
      <c r="B39" s="1" t="s">
        <v>15</v>
      </c>
      <c r="C39" s="1" t="s">
        <v>17</v>
      </c>
      <c r="D39" s="1">
        <v>65536</v>
      </c>
      <c r="E39" s="3">
        <v>96.07</v>
      </c>
      <c r="F39" s="5">
        <v>10409471.07</v>
      </c>
      <c r="G39" s="6">
        <v>1.6E-2</v>
      </c>
      <c r="H39" s="1">
        <v>7.0000000000000007E-2</v>
      </c>
      <c r="I39" s="1"/>
    </row>
    <row r="40" spans="1:9" x14ac:dyDescent="0.3">
      <c r="A40" s="1" t="s">
        <v>20</v>
      </c>
      <c r="B40" s="1" t="s">
        <v>18</v>
      </c>
      <c r="C40" s="1" t="s">
        <v>16</v>
      </c>
      <c r="D40" s="1">
        <v>65536</v>
      </c>
      <c r="E40" s="3">
        <v>52.71</v>
      </c>
      <c r="F40" s="5">
        <v>18971784.620000001</v>
      </c>
      <c r="G40" s="6">
        <v>0.247</v>
      </c>
      <c r="H40" s="1">
        <v>0.04</v>
      </c>
      <c r="I40" s="1" t="s">
        <v>39</v>
      </c>
    </row>
    <row r="41" spans="1:9" x14ac:dyDescent="0.3">
      <c r="A41" s="1" t="s">
        <v>20</v>
      </c>
      <c r="B41" s="1" t="s">
        <v>18</v>
      </c>
      <c r="C41" s="1" t="s">
        <v>17</v>
      </c>
      <c r="D41" s="1">
        <v>65536</v>
      </c>
      <c r="E41" s="3">
        <v>94</v>
      </c>
      <c r="F41" s="5">
        <v>10638389.4</v>
      </c>
      <c r="G41" s="6">
        <v>4.1000000000000002E-2</v>
      </c>
      <c r="H41" s="1">
        <v>7.0000000000000007E-2</v>
      </c>
      <c r="I41" s="1"/>
    </row>
    <row r="42" spans="1:9" x14ac:dyDescent="0.3">
      <c r="A42" s="1" t="s">
        <v>20</v>
      </c>
      <c r="B42" s="1" t="s">
        <v>19</v>
      </c>
      <c r="C42" s="1" t="s">
        <v>16</v>
      </c>
      <c r="D42" s="1">
        <v>65536</v>
      </c>
      <c r="E42" s="3">
        <v>33.54</v>
      </c>
      <c r="F42" s="5">
        <v>29816467.850000001</v>
      </c>
      <c r="G42" s="6">
        <v>4.2000000000000003E-2</v>
      </c>
      <c r="H42" s="1">
        <v>0.04</v>
      </c>
      <c r="I42" s="1"/>
    </row>
    <row r="43" spans="1:9" x14ac:dyDescent="0.3">
      <c r="A43" s="1" t="s">
        <v>20</v>
      </c>
      <c r="B43" s="1" t="s">
        <v>19</v>
      </c>
      <c r="C43" s="1" t="s">
        <v>17</v>
      </c>
      <c r="D43" s="1">
        <v>65536</v>
      </c>
      <c r="E43" s="3">
        <v>115.11</v>
      </c>
      <c r="F43" s="5">
        <v>8687525.5999999996</v>
      </c>
      <c r="G43" s="6">
        <v>3.1E-2</v>
      </c>
      <c r="H43" s="1">
        <v>0.08</v>
      </c>
      <c r="I43" s="1"/>
    </row>
    <row r="44" spans="1:9" x14ac:dyDescent="0.3">
      <c r="A44" s="1" t="s">
        <v>20</v>
      </c>
      <c r="B44" s="1" t="s">
        <v>15</v>
      </c>
      <c r="C44" s="1" t="s">
        <v>16</v>
      </c>
      <c r="D44" s="1">
        <v>262144</v>
      </c>
      <c r="E44" s="3">
        <v>76.62</v>
      </c>
      <c r="F44" s="5">
        <v>13051289.58</v>
      </c>
      <c r="G44" s="6">
        <v>0.124</v>
      </c>
      <c r="H44" s="1">
        <v>0.22</v>
      </c>
      <c r="I44" s="1" t="s">
        <v>39</v>
      </c>
    </row>
    <row r="45" spans="1:9" x14ac:dyDescent="0.3">
      <c r="A45" s="1" t="s">
        <v>20</v>
      </c>
      <c r="B45" s="1" t="s">
        <v>15</v>
      </c>
      <c r="C45" s="1" t="s">
        <v>17</v>
      </c>
      <c r="D45" s="1">
        <v>262144</v>
      </c>
      <c r="E45" s="3">
        <v>148.22999999999999</v>
      </c>
      <c r="F45" s="5">
        <v>6746048.2300000004</v>
      </c>
      <c r="G45" s="6">
        <v>5.0000000000000001E-3</v>
      </c>
      <c r="H45" s="1">
        <v>0.43</v>
      </c>
      <c r="I45" s="1"/>
    </row>
    <row r="46" spans="1:9" x14ac:dyDescent="0.3">
      <c r="A46" s="1" t="s">
        <v>20</v>
      </c>
      <c r="B46" s="1" t="s">
        <v>18</v>
      </c>
      <c r="C46" s="1" t="s">
        <v>16</v>
      </c>
      <c r="D46" s="1">
        <v>262144</v>
      </c>
      <c r="E46" s="3">
        <v>83.2</v>
      </c>
      <c r="F46" s="5">
        <v>12019409.76</v>
      </c>
      <c r="G46" s="6">
        <v>1.2999999999999999E-2</v>
      </c>
      <c r="H46" s="1">
        <v>0.23</v>
      </c>
      <c r="I46" s="1"/>
    </row>
    <row r="47" spans="1:9" x14ac:dyDescent="0.3">
      <c r="A47" s="1" t="s">
        <v>20</v>
      </c>
      <c r="B47" s="1" t="s">
        <v>18</v>
      </c>
      <c r="C47" s="1" t="s">
        <v>17</v>
      </c>
      <c r="D47" s="1">
        <v>262144</v>
      </c>
      <c r="E47" s="3">
        <v>194.01</v>
      </c>
      <c r="F47" s="5">
        <v>5154433.63</v>
      </c>
      <c r="G47" s="6">
        <v>5.8999999999999997E-2</v>
      </c>
      <c r="H47" s="1">
        <v>0.57999999999999996</v>
      </c>
      <c r="I47" s="1" t="s">
        <v>39</v>
      </c>
    </row>
    <row r="48" spans="1:9" x14ac:dyDescent="0.3">
      <c r="A48" s="1" t="s">
        <v>20</v>
      </c>
      <c r="B48" s="1" t="s">
        <v>19</v>
      </c>
      <c r="C48" s="1" t="s">
        <v>16</v>
      </c>
      <c r="D48" s="1">
        <v>262144</v>
      </c>
      <c r="E48" s="3">
        <v>44.21</v>
      </c>
      <c r="F48" s="5">
        <v>22616948.219999999</v>
      </c>
      <c r="G48" s="6">
        <v>5.1999999999999998E-2</v>
      </c>
      <c r="H48" s="1">
        <v>0.22</v>
      </c>
      <c r="I48" s="1" t="s">
        <v>39</v>
      </c>
    </row>
    <row r="49" spans="1:9" x14ac:dyDescent="0.3">
      <c r="A49" s="1" t="s">
        <v>20</v>
      </c>
      <c r="B49" s="1" t="s">
        <v>19</v>
      </c>
      <c r="C49" s="1" t="s">
        <v>17</v>
      </c>
      <c r="D49" s="1">
        <v>262144</v>
      </c>
      <c r="E49" s="3">
        <v>187.74</v>
      </c>
      <c r="F49" s="5">
        <v>5326625.63</v>
      </c>
      <c r="G49" s="6">
        <v>1.4E-2</v>
      </c>
      <c r="H49" s="1">
        <v>0.54</v>
      </c>
      <c r="I49" s="1"/>
    </row>
    <row r="50" spans="1:9" x14ac:dyDescent="0.3">
      <c r="A50" s="1" t="s">
        <v>21</v>
      </c>
      <c r="B50" s="1" t="s">
        <v>15</v>
      </c>
      <c r="C50" s="1" t="s">
        <v>16</v>
      </c>
      <c r="D50" s="1">
        <v>4096</v>
      </c>
      <c r="E50" s="3">
        <v>17.489999999999998</v>
      </c>
      <c r="F50" s="5">
        <v>57173166.579999998</v>
      </c>
      <c r="G50" s="6">
        <v>2.7E-2</v>
      </c>
      <c r="H50" s="1">
        <v>0</v>
      </c>
      <c r="I50" s="1"/>
    </row>
    <row r="51" spans="1:9" x14ac:dyDescent="0.3">
      <c r="A51" s="1" t="s">
        <v>21</v>
      </c>
      <c r="B51" s="1" t="s">
        <v>15</v>
      </c>
      <c r="C51" s="1" t="s">
        <v>17</v>
      </c>
      <c r="D51" s="1">
        <v>4096</v>
      </c>
      <c r="E51" s="3">
        <v>58.34</v>
      </c>
      <c r="F51" s="5">
        <v>17140872.359999999</v>
      </c>
      <c r="G51" s="6">
        <v>2.1000000000000001E-2</v>
      </c>
      <c r="H51" s="1">
        <v>0</v>
      </c>
      <c r="I51" s="1"/>
    </row>
    <row r="52" spans="1:9" x14ac:dyDescent="0.3">
      <c r="A52" s="1" t="s">
        <v>21</v>
      </c>
      <c r="B52" s="1" t="s">
        <v>18</v>
      </c>
      <c r="C52" s="1" t="s">
        <v>16</v>
      </c>
      <c r="D52" s="1">
        <v>4096</v>
      </c>
      <c r="E52" s="3">
        <v>14.48</v>
      </c>
      <c r="F52" s="5">
        <v>69053880.909999996</v>
      </c>
      <c r="G52" s="6">
        <v>4.1000000000000002E-2</v>
      </c>
      <c r="H52" s="1">
        <v>0</v>
      </c>
      <c r="I52" s="1"/>
    </row>
    <row r="53" spans="1:9" x14ac:dyDescent="0.3">
      <c r="A53" s="1" t="s">
        <v>21</v>
      </c>
      <c r="B53" s="1" t="s">
        <v>18</v>
      </c>
      <c r="C53" s="1" t="s">
        <v>17</v>
      </c>
      <c r="D53" s="1">
        <v>4096</v>
      </c>
      <c r="E53" s="3">
        <v>47.17</v>
      </c>
      <c r="F53" s="5">
        <v>21198085.129999999</v>
      </c>
      <c r="G53" s="6">
        <v>8.5999999999999993E-2</v>
      </c>
      <c r="H53" s="1">
        <v>0</v>
      </c>
      <c r="I53" s="1" t="s">
        <v>39</v>
      </c>
    </row>
    <row r="54" spans="1:9" x14ac:dyDescent="0.3">
      <c r="A54" s="1" t="s">
        <v>21</v>
      </c>
      <c r="B54" s="1" t="s">
        <v>19</v>
      </c>
      <c r="C54" s="1" t="s">
        <v>16</v>
      </c>
      <c r="D54" s="1">
        <v>4096</v>
      </c>
      <c r="E54" s="3">
        <v>19.93</v>
      </c>
      <c r="F54" s="5">
        <v>50186237.990000002</v>
      </c>
      <c r="G54" s="6">
        <v>4.1000000000000002E-2</v>
      </c>
      <c r="H54" s="1">
        <v>0</v>
      </c>
      <c r="I54" s="1"/>
    </row>
    <row r="55" spans="1:9" x14ac:dyDescent="0.3">
      <c r="A55" s="1" t="s">
        <v>21</v>
      </c>
      <c r="B55" s="1" t="s">
        <v>19</v>
      </c>
      <c r="C55" s="1" t="s">
        <v>17</v>
      </c>
      <c r="D55" s="1">
        <v>4096</v>
      </c>
      <c r="E55" s="3">
        <v>60.38</v>
      </c>
      <c r="F55" s="5">
        <v>16561004.01</v>
      </c>
      <c r="G55" s="6">
        <v>1.2999999999999999E-2</v>
      </c>
      <c r="H55" s="1">
        <v>0</v>
      </c>
      <c r="I55" s="1"/>
    </row>
    <row r="56" spans="1:9" x14ac:dyDescent="0.3">
      <c r="A56" s="1" t="s">
        <v>21</v>
      </c>
      <c r="B56" s="1" t="s">
        <v>15</v>
      </c>
      <c r="C56" s="1" t="s">
        <v>16</v>
      </c>
      <c r="D56" s="1">
        <v>16384</v>
      </c>
      <c r="E56" s="3">
        <v>18.89</v>
      </c>
      <c r="F56" s="5">
        <v>52942640.090000004</v>
      </c>
      <c r="G56" s="6">
        <v>2.7E-2</v>
      </c>
      <c r="H56" s="1">
        <v>0</v>
      </c>
      <c r="I56" s="1"/>
    </row>
    <row r="57" spans="1:9" x14ac:dyDescent="0.3">
      <c r="A57" s="1" t="s">
        <v>21</v>
      </c>
      <c r="B57" s="1" t="s">
        <v>15</v>
      </c>
      <c r="C57" s="1" t="s">
        <v>17</v>
      </c>
      <c r="D57" s="1">
        <v>16384</v>
      </c>
      <c r="E57" s="3">
        <v>80.459999999999994</v>
      </c>
      <c r="F57" s="5">
        <v>12427891.449999999</v>
      </c>
      <c r="G57" s="6">
        <v>1.2999999999999999E-2</v>
      </c>
      <c r="H57" s="1">
        <v>0.01</v>
      </c>
      <c r="I57" s="1"/>
    </row>
    <row r="58" spans="1:9" x14ac:dyDescent="0.3">
      <c r="A58" s="1" t="s">
        <v>21</v>
      </c>
      <c r="B58" s="1" t="s">
        <v>18</v>
      </c>
      <c r="C58" s="1" t="s">
        <v>16</v>
      </c>
      <c r="D58" s="1">
        <v>16384</v>
      </c>
      <c r="E58" s="3">
        <v>16.68</v>
      </c>
      <c r="F58" s="5">
        <v>59939782.18</v>
      </c>
      <c r="G58" s="6">
        <v>5.2999999999999999E-2</v>
      </c>
      <c r="H58" s="1">
        <v>0</v>
      </c>
      <c r="I58" s="1" t="s">
        <v>39</v>
      </c>
    </row>
    <row r="59" spans="1:9" x14ac:dyDescent="0.3">
      <c r="A59" s="1" t="s">
        <v>21</v>
      </c>
      <c r="B59" s="1" t="s">
        <v>18</v>
      </c>
      <c r="C59" s="1" t="s">
        <v>17</v>
      </c>
      <c r="D59" s="1">
        <v>16384</v>
      </c>
      <c r="E59" s="3">
        <v>54.21</v>
      </c>
      <c r="F59" s="5">
        <v>18448331.390000001</v>
      </c>
      <c r="G59" s="6">
        <v>2.1000000000000001E-2</v>
      </c>
      <c r="H59" s="1">
        <v>0.01</v>
      </c>
      <c r="I59" s="1"/>
    </row>
    <row r="60" spans="1:9" x14ac:dyDescent="0.3">
      <c r="A60" s="1" t="s">
        <v>21</v>
      </c>
      <c r="B60" s="1" t="s">
        <v>19</v>
      </c>
      <c r="C60" s="1" t="s">
        <v>16</v>
      </c>
      <c r="D60" s="1">
        <v>16384</v>
      </c>
      <c r="E60" s="3">
        <v>24.1</v>
      </c>
      <c r="F60" s="5">
        <v>41502121.460000001</v>
      </c>
      <c r="G60" s="6">
        <v>2.7E-2</v>
      </c>
      <c r="H60" s="1">
        <v>0</v>
      </c>
      <c r="I60" s="1"/>
    </row>
    <row r="61" spans="1:9" x14ac:dyDescent="0.3">
      <c r="A61" s="1" t="s">
        <v>21</v>
      </c>
      <c r="B61" s="1" t="s">
        <v>19</v>
      </c>
      <c r="C61" s="1" t="s">
        <v>17</v>
      </c>
      <c r="D61" s="1">
        <v>16384</v>
      </c>
      <c r="E61" s="3">
        <v>81.14</v>
      </c>
      <c r="F61" s="5">
        <v>12324412.48</v>
      </c>
      <c r="G61" s="6">
        <v>7.0000000000000001E-3</v>
      </c>
      <c r="H61" s="1">
        <v>0.01</v>
      </c>
      <c r="I61" s="1"/>
    </row>
    <row r="62" spans="1:9" x14ac:dyDescent="0.3">
      <c r="A62" s="1" t="s">
        <v>21</v>
      </c>
      <c r="B62" s="1" t="s">
        <v>15</v>
      </c>
      <c r="C62" s="1" t="s">
        <v>16</v>
      </c>
      <c r="D62" s="1">
        <v>65536</v>
      </c>
      <c r="E62" s="3">
        <v>19.21</v>
      </c>
      <c r="F62" s="5">
        <v>52066417.729999997</v>
      </c>
      <c r="G62" s="6">
        <v>3.5000000000000003E-2</v>
      </c>
      <c r="H62" s="1">
        <v>0.01</v>
      </c>
      <c r="I62" s="1"/>
    </row>
    <row r="63" spans="1:9" x14ac:dyDescent="0.3">
      <c r="A63" s="1" t="s">
        <v>21</v>
      </c>
      <c r="B63" s="1" t="s">
        <v>15</v>
      </c>
      <c r="C63" s="1" t="s">
        <v>17</v>
      </c>
      <c r="D63" s="1">
        <v>65536</v>
      </c>
      <c r="E63" s="3">
        <v>124.41</v>
      </c>
      <c r="F63" s="5">
        <v>8037697.3099999996</v>
      </c>
      <c r="G63" s="6">
        <v>1.7000000000000001E-2</v>
      </c>
      <c r="H63" s="1">
        <v>0.09</v>
      </c>
      <c r="I63" s="1"/>
    </row>
    <row r="64" spans="1:9" x14ac:dyDescent="0.3">
      <c r="A64" s="1" t="s">
        <v>21</v>
      </c>
      <c r="B64" s="1" t="s">
        <v>18</v>
      </c>
      <c r="C64" s="1" t="s">
        <v>16</v>
      </c>
      <c r="D64" s="1">
        <v>65536</v>
      </c>
      <c r="E64" s="3">
        <v>33.479999999999997</v>
      </c>
      <c r="F64" s="5">
        <v>29869262.73</v>
      </c>
      <c r="G64" s="6">
        <v>2.3E-2</v>
      </c>
      <c r="H64" s="1">
        <v>0.02</v>
      </c>
      <c r="I64" s="1"/>
    </row>
    <row r="65" spans="1:9" x14ac:dyDescent="0.3">
      <c r="A65" s="1" t="s">
        <v>21</v>
      </c>
      <c r="B65" s="1" t="s">
        <v>18</v>
      </c>
      <c r="C65" s="1" t="s">
        <v>17</v>
      </c>
      <c r="D65" s="1">
        <v>65536</v>
      </c>
      <c r="E65" s="3">
        <v>96.64</v>
      </c>
      <c r="F65" s="5">
        <v>10347556.380000001</v>
      </c>
      <c r="G65" s="6">
        <v>0.05</v>
      </c>
      <c r="H65" s="1">
        <v>7.0000000000000007E-2</v>
      </c>
      <c r="I65" s="1" t="s">
        <v>39</v>
      </c>
    </row>
    <row r="66" spans="1:9" x14ac:dyDescent="0.3">
      <c r="A66" s="1" t="s">
        <v>21</v>
      </c>
      <c r="B66" s="1" t="s">
        <v>19</v>
      </c>
      <c r="C66" s="1" t="s">
        <v>16</v>
      </c>
      <c r="D66" s="1">
        <v>65536</v>
      </c>
      <c r="E66" s="3">
        <v>28.14</v>
      </c>
      <c r="F66" s="5">
        <v>35537644.060000002</v>
      </c>
      <c r="G66" s="6">
        <v>2.1999999999999999E-2</v>
      </c>
      <c r="H66" s="1">
        <v>0.02</v>
      </c>
      <c r="I66" s="1"/>
    </row>
    <row r="67" spans="1:9" x14ac:dyDescent="0.3">
      <c r="A67" s="1" t="s">
        <v>21</v>
      </c>
      <c r="B67" s="1" t="s">
        <v>19</v>
      </c>
      <c r="C67" s="1" t="s">
        <v>17</v>
      </c>
      <c r="D67" s="1">
        <v>65536</v>
      </c>
      <c r="E67" s="3">
        <v>124.72</v>
      </c>
      <c r="F67" s="5">
        <v>8017812.0300000003</v>
      </c>
      <c r="G67" s="6">
        <v>0.02</v>
      </c>
      <c r="H67" s="1">
        <v>0.09</v>
      </c>
      <c r="I67" s="1"/>
    </row>
    <row r="68" spans="1:9" x14ac:dyDescent="0.3">
      <c r="A68" s="1" t="s">
        <v>21</v>
      </c>
      <c r="B68" s="1" t="s">
        <v>15</v>
      </c>
      <c r="C68" s="1" t="s">
        <v>16</v>
      </c>
      <c r="D68" s="1">
        <v>262144</v>
      </c>
      <c r="E68" s="3">
        <v>26.01</v>
      </c>
      <c r="F68" s="5">
        <v>38451688.229999997</v>
      </c>
      <c r="G68" s="6">
        <v>3.5000000000000003E-2</v>
      </c>
      <c r="H68" s="1">
        <v>7.0000000000000007E-2</v>
      </c>
      <c r="I68" s="1"/>
    </row>
    <row r="69" spans="1:9" x14ac:dyDescent="0.3">
      <c r="A69" s="1" t="s">
        <v>21</v>
      </c>
      <c r="B69" s="1" t="s">
        <v>15</v>
      </c>
      <c r="C69" s="1" t="s">
        <v>17</v>
      </c>
      <c r="D69" s="1">
        <v>262144</v>
      </c>
      <c r="E69" s="3">
        <v>206.6</v>
      </c>
      <c r="F69" s="5">
        <v>4840227.66</v>
      </c>
      <c r="G69" s="6">
        <v>1.7000000000000001E-2</v>
      </c>
      <c r="H69" s="1">
        <v>0.6</v>
      </c>
      <c r="I69" s="1"/>
    </row>
    <row r="70" spans="1:9" x14ac:dyDescent="0.3">
      <c r="A70" s="1" t="s">
        <v>21</v>
      </c>
      <c r="B70" s="1" t="s">
        <v>18</v>
      </c>
      <c r="C70" s="1" t="s">
        <v>16</v>
      </c>
      <c r="D70" s="1">
        <v>262144</v>
      </c>
      <c r="E70" s="3">
        <v>41.09</v>
      </c>
      <c r="F70" s="5">
        <v>24334654.98</v>
      </c>
      <c r="G70" s="6">
        <v>5.5E-2</v>
      </c>
      <c r="H70" s="1">
        <v>0.12</v>
      </c>
      <c r="I70" s="1" t="s">
        <v>39</v>
      </c>
    </row>
    <row r="71" spans="1:9" x14ac:dyDescent="0.3">
      <c r="A71" s="1" t="s">
        <v>21</v>
      </c>
      <c r="B71" s="1" t="s">
        <v>18</v>
      </c>
      <c r="C71" s="1" t="s">
        <v>17</v>
      </c>
      <c r="D71" s="1">
        <v>262144</v>
      </c>
      <c r="E71" s="3">
        <v>184.26</v>
      </c>
      <c r="F71" s="5">
        <v>5427078.1799999997</v>
      </c>
      <c r="G71" s="6">
        <v>2.8000000000000001E-2</v>
      </c>
      <c r="H71" s="1">
        <v>0.54</v>
      </c>
      <c r="I71" s="1"/>
    </row>
    <row r="72" spans="1:9" x14ac:dyDescent="0.3">
      <c r="A72" s="1" t="s">
        <v>21</v>
      </c>
      <c r="B72" s="1" t="s">
        <v>19</v>
      </c>
      <c r="C72" s="1" t="s">
        <v>16</v>
      </c>
      <c r="D72" s="1">
        <v>262144</v>
      </c>
      <c r="E72" s="3">
        <v>34.590000000000003</v>
      </c>
      <c r="F72" s="5">
        <v>28910016.16</v>
      </c>
      <c r="G72" s="6">
        <v>2.7E-2</v>
      </c>
      <c r="H72" s="1">
        <v>0.1</v>
      </c>
      <c r="I72" s="1"/>
    </row>
    <row r="73" spans="1:9" x14ac:dyDescent="0.3">
      <c r="A73" s="1" t="s">
        <v>21</v>
      </c>
      <c r="B73" s="1" t="s">
        <v>19</v>
      </c>
      <c r="C73" s="1" t="s">
        <v>17</v>
      </c>
      <c r="D73" s="1">
        <v>262144</v>
      </c>
      <c r="E73" s="3">
        <v>212.4</v>
      </c>
      <c r="F73" s="5">
        <v>4708025.68</v>
      </c>
      <c r="G73" s="6">
        <v>0.01</v>
      </c>
      <c r="H73" s="1">
        <v>0.61</v>
      </c>
      <c r="I7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8" customWidth="1"/>
    <col min="4" max="4" width="9" customWidth="1"/>
    <col min="5" max="5" width="10" customWidth="1"/>
    <col min="6" max="6" width="14" customWidth="1"/>
    <col min="7" max="7" width="8" customWidth="1"/>
    <col min="8" max="9" width="10" customWidth="1"/>
  </cols>
  <sheetData>
    <row r="1" spans="1:9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spans="1:9" x14ac:dyDescent="0.3">
      <c r="A2" s="1" t="s">
        <v>14</v>
      </c>
      <c r="B2" s="1" t="s">
        <v>15</v>
      </c>
      <c r="C2" s="1" t="s">
        <v>16</v>
      </c>
      <c r="D2" s="1">
        <v>4096</v>
      </c>
      <c r="E2" s="3">
        <v>46.79</v>
      </c>
      <c r="F2" s="5">
        <v>21372548.84</v>
      </c>
      <c r="G2" s="6">
        <v>1.2999999999999999E-2</v>
      </c>
      <c r="H2" s="1">
        <v>0.11</v>
      </c>
      <c r="I2" s="1"/>
    </row>
    <row r="3" spans="1:9" x14ac:dyDescent="0.3">
      <c r="A3" s="1" t="s">
        <v>14</v>
      </c>
      <c r="B3" s="1" t="s">
        <v>15</v>
      </c>
      <c r="C3" s="1" t="s">
        <v>17</v>
      </c>
      <c r="D3" s="1">
        <v>4096</v>
      </c>
      <c r="E3" s="3">
        <v>41.12</v>
      </c>
      <c r="F3" s="5">
        <v>24320470.489999998</v>
      </c>
      <c r="G3" s="6">
        <v>3.0000000000000001E-3</v>
      </c>
      <c r="H3" s="1">
        <v>0.1</v>
      </c>
      <c r="I3" s="1"/>
    </row>
    <row r="4" spans="1:9" x14ac:dyDescent="0.3">
      <c r="A4" s="1" t="s">
        <v>14</v>
      </c>
      <c r="B4" s="1" t="s">
        <v>18</v>
      </c>
      <c r="C4" s="1" t="s">
        <v>16</v>
      </c>
      <c r="D4" s="1">
        <v>4096</v>
      </c>
      <c r="E4" s="3">
        <v>13.67</v>
      </c>
      <c r="F4" s="5">
        <v>73140577.650000006</v>
      </c>
      <c r="G4" s="6">
        <v>7.0000000000000001E-3</v>
      </c>
      <c r="H4" s="1">
        <v>0.03</v>
      </c>
      <c r="I4" s="1"/>
    </row>
    <row r="5" spans="1:9" x14ac:dyDescent="0.3">
      <c r="A5" s="1" t="s">
        <v>14</v>
      </c>
      <c r="B5" s="1" t="s">
        <v>18</v>
      </c>
      <c r="C5" s="1" t="s">
        <v>17</v>
      </c>
      <c r="D5" s="1">
        <v>4096</v>
      </c>
      <c r="E5" s="3">
        <v>12.59</v>
      </c>
      <c r="F5" s="5">
        <v>79401128.980000004</v>
      </c>
      <c r="G5" s="6">
        <v>5.0000000000000001E-3</v>
      </c>
      <c r="H5" s="1">
        <v>0.03</v>
      </c>
      <c r="I5" s="1"/>
    </row>
    <row r="6" spans="1:9" x14ac:dyDescent="0.3">
      <c r="A6" s="1" t="s">
        <v>14</v>
      </c>
      <c r="B6" s="1" t="s">
        <v>19</v>
      </c>
      <c r="C6" s="1" t="s">
        <v>16</v>
      </c>
      <c r="D6" s="1">
        <v>4096</v>
      </c>
      <c r="E6" s="3">
        <v>9.7899999999999991</v>
      </c>
      <c r="F6" s="5">
        <v>102129567.5</v>
      </c>
      <c r="G6" s="6">
        <v>3.0000000000000001E-3</v>
      </c>
      <c r="H6" s="1">
        <v>0.02</v>
      </c>
      <c r="I6" s="1"/>
    </row>
    <row r="7" spans="1:9" x14ac:dyDescent="0.3">
      <c r="A7" s="1" t="s">
        <v>14</v>
      </c>
      <c r="B7" s="1" t="s">
        <v>19</v>
      </c>
      <c r="C7" s="1" t="s">
        <v>17</v>
      </c>
      <c r="D7" s="1">
        <v>4096</v>
      </c>
      <c r="E7" s="3">
        <v>12.07</v>
      </c>
      <c r="F7" s="5">
        <v>82880980.340000004</v>
      </c>
      <c r="G7" s="6">
        <v>8.9999999999999993E-3</v>
      </c>
      <c r="H7" s="1">
        <v>0.03</v>
      </c>
      <c r="I7" s="1"/>
    </row>
    <row r="8" spans="1:9" x14ac:dyDescent="0.3">
      <c r="A8" s="1" t="s">
        <v>14</v>
      </c>
      <c r="B8" s="1" t="s">
        <v>15</v>
      </c>
      <c r="C8" s="1" t="s">
        <v>16</v>
      </c>
      <c r="D8" s="1">
        <v>16384</v>
      </c>
      <c r="E8" s="3">
        <v>67.680000000000007</v>
      </c>
      <c r="F8" s="5">
        <v>14775317.9</v>
      </c>
      <c r="G8" s="6">
        <v>1.0999999999999999E-2</v>
      </c>
      <c r="H8" s="1">
        <v>0.15</v>
      </c>
      <c r="I8" s="1"/>
    </row>
    <row r="9" spans="1:9" x14ac:dyDescent="0.3">
      <c r="A9" s="1" t="s">
        <v>14</v>
      </c>
      <c r="B9" s="1" t="s">
        <v>15</v>
      </c>
      <c r="C9" s="1" t="s">
        <v>17</v>
      </c>
      <c r="D9" s="1">
        <v>16384</v>
      </c>
      <c r="E9" s="3">
        <v>59.76</v>
      </c>
      <c r="F9" s="5">
        <v>16732571.74</v>
      </c>
      <c r="G9" s="6">
        <v>7.0000000000000001E-3</v>
      </c>
      <c r="H9" s="1">
        <v>0.15</v>
      </c>
      <c r="I9" s="1"/>
    </row>
    <row r="10" spans="1:9" x14ac:dyDescent="0.3">
      <c r="A10" s="1" t="s">
        <v>14</v>
      </c>
      <c r="B10" s="1" t="s">
        <v>18</v>
      </c>
      <c r="C10" s="1" t="s">
        <v>16</v>
      </c>
      <c r="D10" s="1">
        <v>16384</v>
      </c>
      <c r="E10" s="3">
        <v>26.9</v>
      </c>
      <c r="F10" s="5">
        <v>37170190.210000001</v>
      </c>
      <c r="G10" s="6">
        <v>7.0000000000000001E-3</v>
      </c>
      <c r="H10" s="1">
        <v>0.06</v>
      </c>
      <c r="I10" s="1"/>
    </row>
    <row r="11" spans="1:9" x14ac:dyDescent="0.3">
      <c r="A11" s="1" t="s">
        <v>14</v>
      </c>
      <c r="B11" s="1" t="s">
        <v>18</v>
      </c>
      <c r="C11" s="1" t="s">
        <v>17</v>
      </c>
      <c r="D11" s="1">
        <v>16384</v>
      </c>
      <c r="E11" s="3">
        <v>25.06</v>
      </c>
      <c r="F11" s="5">
        <v>39901399.579999998</v>
      </c>
      <c r="G11" s="6">
        <v>1.2999999999999999E-2</v>
      </c>
      <c r="H11" s="1">
        <v>0.06</v>
      </c>
      <c r="I11" s="1"/>
    </row>
    <row r="12" spans="1:9" x14ac:dyDescent="0.3">
      <c r="A12" s="1" t="s">
        <v>14</v>
      </c>
      <c r="B12" s="1" t="s">
        <v>19</v>
      </c>
      <c r="C12" s="1" t="s">
        <v>16</v>
      </c>
      <c r="D12" s="1">
        <v>16384</v>
      </c>
      <c r="E12" s="3">
        <v>18.149999999999999</v>
      </c>
      <c r="F12" s="5">
        <v>55095707.960000001</v>
      </c>
      <c r="G12" s="6">
        <v>1.0999999999999999E-2</v>
      </c>
      <c r="H12" s="1">
        <v>0.04</v>
      </c>
      <c r="I12" s="1"/>
    </row>
    <row r="13" spans="1:9" x14ac:dyDescent="0.3">
      <c r="A13" s="1" t="s">
        <v>14</v>
      </c>
      <c r="B13" s="1" t="s">
        <v>19</v>
      </c>
      <c r="C13" s="1" t="s">
        <v>17</v>
      </c>
      <c r="D13" s="1">
        <v>16384</v>
      </c>
      <c r="E13" s="3">
        <v>21.43</v>
      </c>
      <c r="F13" s="5">
        <v>46660913.75</v>
      </c>
      <c r="G13" s="6">
        <v>6.0000000000000001E-3</v>
      </c>
      <c r="H13" s="1">
        <v>0.05</v>
      </c>
      <c r="I13" s="1"/>
    </row>
    <row r="14" spans="1:9" x14ac:dyDescent="0.3">
      <c r="A14" s="1" t="s">
        <v>14</v>
      </c>
      <c r="B14" s="1" t="s">
        <v>15</v>
      </c>
      <c r="C14" s="1" t="s">
        <v>16</v>
      </c>
      <c r="D14" s="1">
        <v>65536</v>
      </c>
      <c r="E14" s="3">
        <v>100.09</v>
      </c>
      <c r="F14" s="5">
        <v>9991059.9900000002</v>
      </c>
      <c r="G14" s="6">
        <v>1.7999999999999999E-2</v>
      </c>
      <c r="H14" s="1">
        <v>0.24</v>
      </c>
      <c r="I14" s="1"/>
    </row>
    <row r="15" spans="1:9" x14ac:dyDescent="0.3">
      <c r="A15" s="1" t="s">
        <v>14</v>
      </c>
      <c r="B15" s="1" t="s">
        <v>15</v>
      </c>
      <c r="C15" s="1" t="s">
        <v>17</v>
      </c>
      <c r="D15" s="1">
        <v>65536</v>
      </c>
      <c r="E15" s="3">
        <v>93.44</v>
      </c>
      <c r="F15" s="5">
        <v>10702396.699999999</v>
      </c>
      <c r="G15" s="6">
        <v>4.0000000000000001E-3</v>
      </c>
      <c r="H15" s="1">
        <v>0.23</v>
      </c>
      <c r="I15" s="1"/>
    </row>
    <row r="16" spans="1:9" x14ac:dyDescent="0.3">
      <c r="A16" s="1" t="s">
        <v>14</v>
      </c>
      <c r="B16" s="1" t="s">
        <v>18</v>
      </c>
      <c r="C16" s="1" t="s">
        <v>16</v>
      </c>
      <c r="D16" s="1">
        <v>65536</v>
      </c>
      <c r="E16" s="3">
        <v>41.02</v>
      </c>
      <c r="F16" s="5">
        <v>24377256.789999999</v>
      </c>
      <c r="G16" s="6">
        <v>7.0000000000000001E-3</v>
      </c>
      <c r="H16" s="1">
        <v>0.1</v>
      </c>
      <c r="I16" s="1"/>
    </row>
    <row r="17" spans="1:9" x14ac:dyDescent="0.3">
      <c r="A17" s="1" t="s">
        <v>14</v>
      </c>
      <c r="B17" s="1" t="s">
        <v>18</v>
      </c>
      <c r="C17" s="1" t="s">
        <v>17</v>
      </c>
      <c r="D17" s="1">
        <v>65536</v>
      </c>
      <c r="E17" s="3">
        <v>36.74</v>
      </c>
      <c r="F17" s="5">
        <v>27221822.98</v>
      </c>
      <c r="G17" s="6">
        <v>7.0000000000000001E-3</v>
      </c>
      <c r="H17" s="1">
        <v>0.09</v>
      </c>
      <c r="I17" s="1"/>
    </row>
    <row r="18" spans="1:9" x14ac:dyDescent="0.3">
      <c r="A18" s="1" t="s">
        <v>14</v>
      </c>
      <c r="B18" s="1" t="s">
        <v>19</v>
      </c>
      <c r="C18" s="1" t="s">
        <v>16</v>
      </c>
      <c r="D18" s="1">
        <v>65536</v>
      </c>
      <c r="E18" s="3">
        <v>26.21</v>
      </c>
      <c r="F18" s="5">
        <v>38156231.270000003</v>
      </c>
      <c r="G18" s="6">
        <v>1.2E-2</v>
      </c>
      <c r="H18" s="1">
        <v>0.06</v>
      </c>
      <c r="I18" s="1"/>
    </row>
    <row r="19" spans="1:9" x14ac:dyDescent="0.3">
      <c r="A19" s="1" t="s">
        <v>14</v>
      </c>
      <c r="B19" s="1" t="s">
        <v>19</v>
      </c>
      <c r="C19" s="1" t="s">
        <v>17</v>
      </c>
      <c r="D19" s="1">
        <v>65536</v>
      </c>
      <c r="E19" s="3">
        <v>29.56</v>
      </c>
      <c r="F19" s="5">
        <v>33830753.57</v>
      </c>
      <c r="G19" s="6">
        <v>5.0000000000000001E-3</v>
      </c>
      <c r="H19" s="1">
        <v>7.0000000000000007E-2</v>
      </c>
      <c r="I19" s="1"/>
    </row>
    <row r="20" spans="1:9" x14ac:dyDescent="0.3">
      <c r="A20" s="1" t="s">
        <v>14</v>
      </c>
      <c r="B20" s="1" t="s">
        <v>15</v>
      </c>
      <c r="C20" s="1" t="s">
        <v>16</v>
      </c>
      <c r="D20" s="1">
        <v>262144</v>
      </c>
      <c r="E20" s="3">
        <v>177.42</v>
      </c>
      <c r="F20" s="5">
        <v>5636265.5899999999</v>
      </c>
      <c r="G20" s="6">
        <v>8.0000000000000002E-3</v>
      </c>
      <c r="H20" s="1">
        <v>0.44</v>
      </c>
      <c r="I20" s="1"/>
    </row>
    <row r="21" spans="1:9" x14ac:dyDescent="0.3">
      <c r="A21" s="1" t="s">
        <v>14</v>
      </c>
      <c r="B21" s="1" t="s">
        <v>15</v>
      </c>
      <c r="C21" s="1" t="s">
        <v>17</v>
      </c>
      <c r="D21" s="1">
        <v>262144</v>
      </c>
      <c r="E21" s="3">
        <v>179.5</v>
      </c>
      <c r="F21" s="5">
        <v>5571013.8200000003</v>
      </c>
      <c r="G21" s="6">
        <v>4.5999999999999999E-2</v>
      </c>
      <c r="H21" s="1">
        <v>0.44</v>
      </c>
      <c r="I21" s="1"/>
    </row>
    <row r="22" spans="1:9" x14ac:dyDescent="0.3">
      <c r="A22" s="1" t="s">
        <v>14</v>
      </c>
      <c r="B22" s="1" t="s">
        <v>18</v>
      </c>
      <c r="C22" s="1" t="s">
        <v>16</v>
      </c>
      <c r="D22" s="1">
        <v>262144</v>
      </c>
      <c r="E22" s="3">
        <v>76.87</v>
      </c>
      <c r="F22" s="5">
        <v>13009740.710000001</v>
      </c>
      <c r="G22" s="6">
        <v>7.0000000000000001E-3</v>
      </c>
      <c r="H22" s="1">
        <v>0.19</v>
      </c>
      <c r="I22" s="1"/>
    </row>
    <row r="23" spans="1:9" x14ac:dyDescent="0.3">
      <c r="A23" s="1" t="s">
        <v>14</v>
      </c>
      <c r="B23" s="1" t="s">
        <v>18</v>
      </c>
      <c r="C23" s="1" t="s">
        <v>17</v>
      </c>
      <c r="D23" s="1">
        <v>262144</v>
      </c>
      <c r="E23" s="3">
        <v>72.489999999999995</v>
      </c>
      <c r="F23" s="5">
        <v>13794724.5</v>
      </c>
      <c r="G23" s="6">
        <v>0.02</v>
      </c>
      <c r="H23" s="1">
        <v>0.16</v>
      </c>
      <c r="I23" s="1"/>
    </row>
    <row r="24" spans="1:9" x14ac:dyDescent="0.3">
      <c r="A24" s="1" t="s">
        <v>14</v>
      </c>
      <c r="B24" s="1" t="s">
        <v>19</v>
      </c>
      <c r="C24" s="1" t="s">
        <v>16</v>
      </c>
      <c r="D24" s="1">
        <v>262144</v>
      </c>
      <c r="E24" s="3">
        <v>49.25</v>
      </c>
      <c r="F24" s="5">
        <v>20306028.91</v>
      </c>
      <c r="G24" s="6">
        <v>8.9999999999999993E-3</v>
      </c>
      <c r="H24" s="1">
        <v>0.12</v>
      </c>
      <c r="I24" s="1"/>
    </row>
    <row r="25" spans="1:9" x14ac:dyDescent="0.3">
      <c r="A25" s="1" t="s">
        <v>14</v>
      </c>
      <c r="B25" s="1" t="s">
        <v>19</v>
      </c>
      <c r="C25" s="1" t="s">
        <v>17</v>
      </c>
      <c r="D25" s="1">
        <v>262144</v>
      </c>
      <c r="E25" s="3">
        <v>50.55</v>
      </c>
      <c r="F25" s="5">
        <v>19783421.559999999</v>
      </c>
      <c r="G25" s="6">
        <v>8.9999999999999993E-3</v>
      </c>
      <c r="H25" s="1">
        <v>0.12</v>
      </c>
      <c r="I25" s="1"/>
    </row>
    <row r="26" spans="1:9" x14ac:dyDescent="0.3">
      <c r="A26" s="1" t="s">
        <v>20</v>
      </c>
      <c r="B26" s="1" t="s">
        <v>15</v>
      </c>
      <c r="C26" s="1" t="s">
        <v>16</v>
      </c>
      <c r="D26" s="1">
        <v>4096</v>
      </c>
      <c r="E26" s="3">
        <v>19.809999999999999</v>
      </c>
      <c r="F26" s="5">
        <v>50468832.789999999</v>
      </c>
      <c r="G26" s="6">
        <v>2.1999999999999999E-2</v>
      </c>
      <c r="H26" s="1">
        <v>0</v>
      </c>
      <c r="I26" s="1"/>
    </row>
    <row r="27" spans="1:9" x14ac:dyDescent="0.3">
      <c r="A27" s="1" t="s">
        <v>20</v>
      </c>
      <c r="B27" s="1" t="s">
        <v>15</v>
      </c>
      <c r="C27" s="1" t="s">
        <v>17</v>
      </c>
      <c r="D27" s="1">
        <v>4096</v>
      </c>
      <c r="E27" s="3">
        <v>56.08</v>
      </c>
      <c r="F27" s="5">
        <v>17832032.359999999</v>
      </c>
      <c r="G27" s="6">
        <v>0.01</v>
      </c>
      <c r="H27" s="1">
        <v>0</v>
      </c>
      <c r="I27" s="1"/>
    </row>
    <row r="28" spans="1:9" x14ac:dyDescent="0.3">
      <c r="A28" s="1" t="s">
        <v>20</v>
      </c>
      <c r="B28" s="1" t="s">
        <v>18</v>
      </c>
      <c r="C28" s="1" t="s">
        <v>16</v>
      </c>
      <c r="D28" s="1">
        <v>4096</v>
      </c>
      <c r="E28" s="3">
        <v>22.62</v>
      </c>
      <c r="F28" s="5">
        <v>44210821.719999999</v>
      </c>
      <c r="G28" s="6">
        <v>1.7000000000000001E-2</v>
      </c>
      <c r="H28" s="1">
        <v>0</v>
      </c>
      <c r="I28" s="1"/>
    </row>
    <row r="29" spans="1:9" x14ac:dyDescent="0.3">
      <c r="A29" s="1" t="s">
        <v>20</v>
      </c>
      <c r="B29" s="1" t="s">
        <v>18</v>
      </c>
      <c r="C29" s="1" t="s">
        <v>17</v>
      </c>
      <c r="D29" s="1">
        <v>4096</v>
      </c>
      <c r="E29" s="3">
        <v>37.479999999999997</v>
      </c>
      <c r="F29" s="5">
        <v>26680736.59</v>
      </c>
      <c r="G29" s="6">
        <v>0.01</v>
      </c>
      <c r="H29" s="1">
        <v>0</v>
      </c>
      <c r="I29" s="1"/>
    </row>
    <row r="30" spans="1:9" x14ac:dyDescent="0.3">
      <c r="A30" s="1" t="s">
        <v>20</v>
      </c>
      <c r="B30" s="1" t="s">
        <v>19</v>
      </c>
      <c r="C30" s="1" t="s">
        <v>16</v>
      </c>
      <c r="D30" s="1">
        <v>4096</v>
      </c>
      <c r="E30" s="3">
        <v>25.08</v>
      </c>
      <c r="F30" s="5">
        <v>39873060.369999997</v>
      </c>
      <c r="G30" s="6">
        <v>1.4E-2</v>
      </c>
      <c r="H30" s="1">
        <v>0</v>
      </c>
      <c r="I30" s="1"/>
    </row>
    <row r="31" spans="1:9" x14ac:dyDescent="0.3">
      <c r="A31" s="1" t="s">
        <v>20</v>
      </c>
      <c r="B31" s="1" t="s">
        <v>19</v>
      </c>
      <c r="C31" s="1" t="s">
        <v>17</v>
      </c>
      <c r="D31" s="1">
        <v>4096</v>
      </c>
      <c r="E31" s="3">
        <v>61.55</v>
      </c>
      <c r="F31" s="5">
        <v>16245974.199999999</v>
      </c>
      <c r="G31" s="6">
        <v>2.1000000000000001E-2</v>
      </c>
      <c r="H31" s="1">
        <v>0</v>
      </c>
      <c r="I31" s="1"/>
    </row>
    <row r="32" spans="1:9" x14ac:dyDescent="0.3">
      <c r="A32" s="1" t="s">
        <v>20</v>
      </c>
      <c r="B32" s="1" t="s">
        <v>15</v>
      </c>
      <c r="C32" s="1" t="s">
        <v>16</v>
      </c>
      <c r="D32" s="1">
        <v>16384</v>
      </c>
      <c r="E32" s="3">
        <v>23.45</v>
      </c>
      <c r="F32" s="5">
        <v>42641348.369999997</v>
      </c>
      <c r="G32" s="6">
        <v>6.3E-2</v>
      </c>
      <c r="H32" s="1">
        <v>0</v>
      </c>
      <c r="I32" s="1" t="s">
        <v>39</v>
      </c>
    </row>
    <row r="33" spans="1:9" x14ac:dyDescent="0.3">
      <c r="A33" s="1" t="s">
        <v>20</v>
      </c>
      <c r="B33" s="1" t="s">
        <v>15</v>
      </c>
      <c r="C33" s="1" t="s">
        <v>17</v>
      </c>
      <c r="D33" s="1">
        <v>16384</v>
      </c>
      <c r="E33" s="3">
        <v>70.67</v>
      </c>
      <c r="F33" s="5">
        <v>14150401.560000001</v>
      </c>
      <c r="G33" s="6">
        <v>1.6E-2</v>
      </c>
      <c r="H33" s="1">
        <v>0.01</v>
      </c>
      <c r="I33" s="1"/>
    </row>
    <row r="34" spans="1:9" x14ac:dyDescent="0.3">
      <c r="A34" s="1" t="s">
        <v>20</v>
      </c>
      <c r="B34" s="1" t="s">
        <v>18</v>
      </c>
      <c r="C34" s="1" t="s">
        <v>16</v>
      </c>
      <c r="D34" s="1">
        <v>16384</v>
      </c>
      <c r="E34" s="3">
        <v>29.12</v>
      </c>
      <c r="F34" s="5">
        <v>34336850.710000001</v>
      </c>
      <c r="G34" s="6">
        <v>1.9E-2</v>
      </c>
      <c r="H34" s="1">
        <v>0.01</v>
      </c>
      <c r="I34" s="1"/>
    </row>
    <row r="35" spans="1:9" x14ac:dyDescent="0.3">
      <c r="A35" s="1" t="s">
        <v>20</v>
      </c>
      <c r="B35" s="1" t="s">
        <v>18</v>
      </c>
      <c r="C35" s="1" t="s">
        <v>17</v>
      </c>
      <c r="D35" s="1">
        <v>16384</v>
      </c>
      <c r="E35" s="3">
        <v>57.9</v>
      </c>
      <c r="F35" s="5">
        <v>17270002.960000001</v>
      </c>
      <c r="G35" s="6">
        <v>1.2E-2</v>
      </c>
      <c r="H35" s="1">
        <v>0.01</v>
      </c>
      <c r="I35" s="1"/>
    </row>
    <row r="36" spans="1:9" x14ac:dyDescent="0.3">
      <c r="A36" s="1" t="s">
        <v>20</v>
      </c>
      <c r="B36" s="1" t="s">
        <v>19</v>
      </c>
      <c r="C36" s="1" t="s">
        <v>16</v>
      </c>
      <c r="D36" s="1">
        <v>16384</v>
      </c>
      <c r="E36" s="3">
        <v>30.43</v>
      </c>
      <c r="F36" s="5">
        <v>32863699.09</v>
      </c>
      <c r="G36" s="6">
        <v>1.2E-2</v>
      </c>
      <c r="H36" s="1">
        <v>0.01</v>
      </c>
      <c r="I36" s="1"/>
    </row>
    <row r="37" spans="1:9" x14ac:dyDescent="0.3">
      <c r="A37" s="1" t="s">
        <v>20</v>
      </c>
      <c r="B37" s="1" t="s">
        <v>19</v>
      </c>
      <c r="C37" s="1" t="s">
        <v>17</v>
      </c>
      <c r="D37" s="1">
        <v>16384</v>
      </c>
      <c r="E37" s="3">
        <v>78.75</v>
      </c>
      <c r="F37" s="5">
        <v>12698274.91</v>
      </c>
      <c r="G37" s="6">
        <v>2.5000000000000001E-2</v>
      </c>
      <c r="H37" s="1">
        <v>0.01</v>
      </c>
      <c r="I37" s="1"/>
    </row>
    <row r="38" spans="1:9" x14ac:dyDescent="0.3">
      <c r="A38" s="1" t="s">
        <v>20</v>
      </c>
      <c r="B38" s="1" t="s">
        <v>15</v>
      </c>
      <c r="C38" s="1" t="s">
        <v>16</v>
      </c>
      <c r="D38" s="1">
        <v>65536</v>
      </c>
      <c r="E38" s="3">
        <v>57.76</v>
      </c>
      <c r="F38" s="5">
        <v>17312490.510000002</v>
      </c>
      <c r="G38" s="6">
        <v>5.3999999999999999E-2</v>
      </c>
      <c r="H38" s="1">
        <v>0.03</v>
      </c>
      <c r="I38" s="1" t="s">
        <v>39</v>
      </c>
    </row>
    <row r="39" spans="1:9" x14ac:dyDescent="0.3">
      <c r="A39" s="1" t="s">
        <v>20</v>
      </c>
      <c r="B39" s="1" t="s">
        <v>15</v>
      </c>
      <c r="C39" s="1" t="s">
        <v>17</v>
      </c>
      <c r="D39" s="1">
        <v>65536</v>
      </c>
      <c r="E39" s="3">
        <v>94.34</v>
      </c>
      <c r="F39" s="5">
        <v>10599567.130000001</v>
      </c>
      <c r="G39" s="6">
        <v>8.0000000000000002E-3</v>
      </c>
      <c r="H39" s="1">
        <v>7.0000000000000007E-2</v>
      </c>
      <c r="I39" s="1"/>
    </row>
    <row r="40" spans="1:9" x14ac:dyDescent="0.3">
      <c r="A40" s="1" t="s">
        <v>20</v>
      </c>
      <c r="B40" s="1" t="s">
        <v>18</v>
      </c>
      <c r="C40" s="1" t="s">
        <v>16</v>
      </c>
      <c r="D40" s="1">
        <v>65536</v>
      </c>
      <c r="E40" s="3">
        <v>70.83</v>
      </c>
      <c r="F40" s="5">
        <v>14118727.779999999</v>
      </c>
      <c r="G40" s="6">
        <v>0.215</v>
      </c>
      <c r="H40" s="1">
        <v>0.05</v>
      </c>
      <c r="I40" s="1" t="s">
        <v>39</v>
      </c>
    </row>
    <row r="41" spans="1:9" x14ac:dyDescent="0.3">
      <c r="A41" s="1" t="s">
        <v>20</v>
      </c>
      <c r="B41" s="1" t="s">
        <v>18</v>
      </c>
      <c r="C41" s="1" t="s">
        <v>17</v>
      </c>
      <c r="D41" s="1">
        <v>65536</v>
      </c>
      <c r="E41" s="3">
        <v>104.13</v>
      </c>
      <c r="F41" s="5">
        <v>9603695.1699999999</v>
      </c>
      <c r="G41" s="6">
        <v>6.8000000000000005E-2</v>
      </c>
      <c r="H41" s="1">
        <v>7.0000000000000007E-2</v>
      </c>
      <c r="I41" s="1" t="s">
        <v>39</v>
      </c>
    </row>
    <row r="42" spans="1:9" x14ac:dyDescent="0.3">
      <c r="A42" s="1" t="s">
        <v>20</v>
      </c>
      <c r="B42" s="1" t="s">
        <v>19</v>
      </c>
      <c r="C42" s="1" t="s">
        <v>16</v>
      </c>
      <c r="D42" s="1">
        <v>65536</v>
      </c>
      <c r="E42" s="3">
        <v>33.85</v>
      </c>
      <c r="F42" s="5">
        <v>29546114.41</v>
      </c>
      <c r="G42" s="6">
        <v>4.5999999999999999E-2</v>
      </c>
      <c r="H42" s="1">
        <v>0.04</v>
      </c>
      <c r="I42" s="1"/>
    </row>
    <row r="43" spans="1:9" x14ac:dyDescent="0.3">
      <c r="A43" s="1" t="s">
        <v>20</v>
      </c>
      <c r="B43" s="1" t="s">
        <v>19</v>
      </c>
      <c r="C43" s="1" t="s">
        <v>17</v>
      </c>
      <c r="D43" s="1">
        <v>65536</v>
      </c>
      <c r="E43" s="3">
        <v>119.51</v>
      </c>
      <c r="F43" s="5">
        <v>8367702.9299999997</v>
      </c>
      <c r="G43" s="6">
        <v>2.1000000000000001E-2</v>
      </c>
      <c r="H43" s="1">
        <v>0.09</v>
      </c>
      <c r="I43" s="1"/>
    </row>
    <row r="44" spans="1:9" x14ac:dyDescent="0.3">
      <c r="A44" s="1" t="s">
        <v>20</v>
      </c>
      <c r="B44" s="1" t="s">
        <v>15</v>
      </c>
      <c r="C44" s="1" t="s">
        <v>16</v>
      </c>
      <c r="D44" s="1">
        <v>262144</v>
      </c>
      <c r="E44" s="3">
        <v>77.41</v>
      </c>
      <c r="F44" s="5">
        <v>12919045.09</v>
      </c>
      <c r="G44" s="6">
        <v>7.5999999999999998E-2</v>
      </c>
      <c r="H44" s="1">
        <v>0.22</v>
      </c>
      <c r="I44" s="1" t="s">
        <v>39</v>
      </c>
    </row>
    <row r="45" spans="1:9" x14ac:dyDescent="0.3">
      <c r="A45" s="1" t="s">
        <v>20</v>
      </c>
      <c r="B45" s="1" t="s">
        <v>15</v>
      </c>
      <c r="C45" s="1" t="s">
        <v>17</v>
      </c>
      <c r="D45" s="1">
        <v>262144</v>
      </c>
      <c r="E45" s="3">
        <v>151.16999999999999</v>
      </c>
      <c r="F45" s="5">
        <v>6615255.1699999999</v>
      </c>
      <c r="G45" s="6">
        <v>2.5999999999999999E-2</v>
      </c>
      <c r="H45" s="1">
        <v>0.44</v>
      </c>
      <c r="I45" s="1"/>
    </row>
    <row r="46" spans="1:9" x14ac:dyDescent="0.3">
      <c r="A46" s="1" t="s">
        <v>20</v>
      </c>
      <c r="B46" s="1" t="s">
        <v>18</v>
      </c>
      <c r="C46" s="1" t="s">
        <v>16</v>
      </c>
      <c r="D46" s="1">
        <v>262144</v>
      </c>
      <c r="E46" s="3">
        <v>76.819999999999993</v>
      </c>
      <c r="F46" s="5">
        <v>13016797.039999999</v>
      </c>
      <c r="G46" s="6">
        <v>6.3E-2</v>
      </c>
      <c r="H46" s="1">
        <v>0.22</v>
      </c>
      <c r="I46" s="1" t="s">
        <v>39</v>
      </c>
    </row>
    <row r="47" spans="1:9" x14ac:dyDescent="0.3">
      <c r="A47" s="1" t="s">
        <v>20</v>
      </c>
      <c r="B47" s="1" t="s">
        <v>18</v>
      </c>
      <c r="C47" s="1" t="s">
        <v>17</v>
      </c>
      <c r="D47" s="1">
        <v>262144</v>
      </c>
      <c r="E47" s="3">
        <v>187.8</v>
      </c>
      <c r="F47" s="5">
        <v>5324704.8499999996</v>
      </c>
      <c r="G47" s="6">
        <v>3.4000000000000002E-2</v>
      </c>
      <c r="H47" s="1">
        <v>0.54</v>
      </c>
      <c r="I47" s="1"/>
    </row>
    <row r="48" spans="1:9" x14ac:dyDescent="0.3">
      <c r="A48" s="1" t="s">
        <v>20</v>
      </c>
      <c r="B48" s="1" t="s">
        <v>19</v>
      </c>
      <c r="C48" s="1" t="s">
        <v>16</v>
      </c>
      <c r="D48" s="1">
        <v>262144</v>
      </c>
      <c r="E48" s="3">
        <v>44.45</v>
      </c>
      <c r="F48" s="5">
        <v>22498448.289999999</v>
      </c>
      <c r="G48" s="6">
        <v>3.5999999999999997E-2</v>
      </c>
      <c r="H48" s="1">
        <v>0.23</v>
      </c>
      <c r="I48" s="1"/>
    </row>
    <row r="49" spans="1:9" x14ac:dyDescent="0.3">
      <c r="A49" s="1" t="s">
        <v>20</v>
      </c>
      <c r="B49" s="1" t="s">
        <v>19</v>
      </c>
      <c r="C49" s="1" t="s">
        <v>17</v>
      </c>
      <c r="D49" s="1">
        <v>262144</v>
      </c>
      <c r="E49" s="3">
        <v>189.16</v>
      </c>
      <c r="F49" s="5">
        <v>5286538.45</v>
      </c>
      <c r="G49" s="6">
        <v>2.5000000000000001E-2</v>
      </c>
      <c r="H49" s="1">
        <v>0.55000000000000004</v>
      </c>
      <c r="I49" s="1"/>
    </row>
    <row r="50" spans="1:9" x14ac:dyDescent="0.3">
      <c r="A50" s="1" t="s">
        <v>21</v>
      </c>
      <c r="B50" s="1" t="s">
        <v>15</v>
      </c>
      <c r="C50" s="1" t="s">
        <v>16</v>
      </c>
      <c r="D50" s="1">
        <v>4096</v>
      </c>
      <c r="E50" s="3">
        <v>18.37</v>
      </c>
      <c r="F50" s="5">
        <v>54432617.039999999</v>
      </c>
      <c r="G50" s="6">
        <v>2.7E-2</v>
      </c>
      <c r="H50" s="1">
        <v>0</v>
      </c>
      <c r="I50" s="1"/>
    </row>
    <row r="51" spans="1:9" x14ac:dyDescent="0.3">
      <c r="A51" s="1" t="s">
        <v>21</v>
      </c>
      <c r="B51" s="1" t="s">
        <v>15</v>
      </c>
      <c r="C51" s="1" t="s">
        <v>17</v>
      </c>
      <c r="D51" s="1">
        <v>4096</v>
      </c>
      <c r="E51" s="3">
        <v>58.25</v>
      </c>
      <c r="F51" s="5">
        <v>17168821.149999999</v>
      </c>
      <c r="G51" s="6">
        <v>1.7999999999999999E-2</v>
      </c>
      <c r="H51" s="1">
        <v>0</v>
      </c>
      <c r="I51" s="1"/>
    </row>
    <row r="52" spans="1:9" x14ac:dyDescent="0.3">
      <c r="A52" s="1" t="s">
        <v>21</v>
      </c>
      <c r="B52" s="1" t="s">
        <v>18</v>
      </c>
      <c r="C52" s="1" t="s">
        <v>16</v>
      </c>
      <c r="D52" s="1">
        <v>4096</v>
      </c>
      <c r="E52" s="3">
        <v>15.15</v>
      </c>
      <c r="F52" s="5">
        <v>66003835.18</v>
      </c>
      <c r="G52" s="6">
        <v>4.2000000000000003E-2</v>
      </c>
      <c r="H52" s="1">
        <v>0</v>
      </c>
      <c r="I52" s="1"/>
    </row>
    <row r="53" spans="1:9" x14ac:dyDescent="0.3">
      <c r="A53" s="1" t="s">
        <v>21</v>
      </c>
      <c r="B53" s="1" t="s">
        <v>18</v>
      </c>
      <c r="C53" s="1" t="s">
        <v>17</v>
      </c>
      <c r="D53" s="1">
        <v>4096</v>
      </c>
      <c r="E53" s="3">
        <v>38.76</v>
      </c>
      <c r="F53" s="5">
        <v>25798649.600000001</v>
      </c>
      <c r="G53" s="6">
        <v>3.7999999999999999E-2</v>
      </c>
      <c r="H53" s="1">
        <v>0</v>
      </c>
      <c r="I53" s="1"/>
    </row>
    <row r="54" spans="1:9" x14ac:dyDescent="0.3">
      <c r="A54" s="1" t="s">
        <v>21</v>
      </c>
      <c r="B54" s="1" t="s">
        <v>19</v>
      </c>
      <c r="C54" s="1" t="s">
        <v>16</v>
      </c>
      <c r="D54" s="1">
        <v>4096</v>
      </c>
      <c r="E54" s="3">
        <v>20.329999999999998</v>
      </c>
      <c r="F54" s="5">
        <v>49185249.229999997</v>
      </c>
      <c r="G54" s="6">
        <v>6.0999999999999999E-2</v>
      </c>
      <c r="H54" s="1">
        <v>0</v>
      </c>
      <c r="I54" s="1" t="s">
        <v>39</v>
      </c>
    </row>
    <row r="55" spans="1:9" x14ac:dyDescent="0.3">
      <c r="A55" s="1" t="s">
        <v>21</v>
      </c>
      <c r="B55" s="1" t="s">
        <v>19</v>
      </c>
      <c r="C55" s="1" t="s">
        <v>17</v>
      </c>
      <c r="D55" s="1">
        <v>4096</v>
      </c>
      <c r="E55" s="3">
        <v>62.84</v>
      </c>
      <c r="F55" s="5">
        <v>15913223.199999999</v>
      </c>
      <c r="G55" s="6">
        <v>0.03</v>
      </c>
      <c r="H55" s="1">
        <v>0</v>
      </c>
      <c r="I55" s="1"/>
    </row>
    <row r="56" spans="1:9" x14ac:dyDescent="0.3">
      <c r="A56" s="1" t="s">
        <v>21</v>
      </c>
      <c r="B56" s="1" t="s">
        <v>15</v>
      </c>
      <c r="C56" s="1" t="s">
        <v>16</v>
      </c>
      <c r="D56" s="1">
        <v>16384</v>
      </c>
      <c r="E56" s="3">
        <v>18.850000000000001</v>
      </c>
      <c r="F56" s="5">
        <v>53045485.600000001</v>
      </c>
      <c r="G56" s="6">
        <v>6.2E-2</v>
      </c>
      <c r="H56" s="1">
        <v>0</v>
      </c>
      <c r="I56" s="1" t="s">
        <v>39</v>
      </c>
    </row>
    <row r="57" spans="1:9" x14ac:dyDescent="0.3">
      <c r="A57" s="1" t="s">
        <v>21</v>
      </c>
      <c r="B57" s="1" t="s">
        <v>15</v>
      </c>
      <c r="C57" s="1" t="s">
        <v>17</v>
      </c>
      <c r="D57" s="1">
        <v>16384</v>
      </c>
      <c r="E57" s="3">
        <v>84.23</v>
      </c>
      <c r="F57" s="5">
        <v>11872661.65</v>
      </c>
      <c r="G57" s="6">
        <v>0.01</v>
      </c>
      <c r="H57" s="1">
        <v>0.02</v>
      </c>
      <c r="I57" s="1"/>
    </row>
    <row r="58" spans="1:9" x14ac:dyDescent="0.3">
      <c r="A58" s="1" t="s">
        <v>21</v>
      </c>
      <c r="B58" s="1" t="s">
        <v>18</v>
      </c>
      <c r="C58" s="1" t="s">
        <v>16</v>
      </c>
      <c r="D58" s="1">
        <v>16384</v>
      </c>
      <c r="E58" s="3">
        <v>19.11</v>
      </c>
      <c r="F58" s="5">
        <v>52341368.979999997</v>
      </c>
      <c r="G58" s="6">
        <v>5.8999999999999997E-2</v>
      </c>
      <c r="H58" s="1">
        <v>0</v>
      </c>
      <c r="I58" s="1" t="s">
        <v>39</v>
      </c>
    </row>
    <row r="59" spans="1:9" x14ac:dyDescent="0.3">
      <c r="A59" s="1" t="s">
        <v>21</v>
      </c>
      <c r="B59" s="1" t="s">
        <v>18</v>
      </c>
      <c r="C59" s="1" t="s">
        <v>17</v>
      </c>
      <c r="D59" s="1">
        <v>16384</v>
      </c>
      <c r="E59" s="3">
        <v>54.85</v>
      </c>
      <c r="F59" s="5">
        <v>18232055.879999999</v>
      </c>
      <c r="G59" s="6">
        <v>0.02</v>
      </c>
      <c r="H59" s="1">
        <v>0.01</v>
      </c>
      <c r="I59" s="1"/>
    </row>
    <row r="60" spans="1:9" x14ac:dyDescent="0.3">
      <c r="A60" s="1" t="s">
        <v>21</v>
      </c>
      <c r="B60" s="1" t="s">
        <v>19</v>
      </c>
      <c r="C60" s="1" t="s">
        <v>16</v>
      </c>
      <c r="D60" s="1">
        <v>16384</v>
      </c>
      <c r="E60" s="3">
        <v>24.28</v>
      </c>
      <c r="F60" s="5">
        <v>41179176.170000002</v>
      </c>
      <c r="G60" s="6">
        <v>1.4999999999999999E-2</v>
      </c>
      <c r="H60" s="1">
        <v>0</v>
      </c>
      <c r="I60" s="1"/>
    </row>
    <row r="61" spans="1:9" x14ac:dyDescent="0.3">
      <c r="A61" s="1" t="s">
        <v>21</v>
      </c>
      <c r="B61" s="1" t="s">
        <v>19</v>
      </c>
      <c r="C61" s="1" t="s">
        <v>17</v>
      </c>
      <c r="D61" s="1">
        <v>16384</v>
      </c>
      <c r="E61" s="3">
        <v>81.099999999999994</v>
      </c>
      <c r="F61" s="5">
        <v>12330283.630000001</v>
      </c>
      <c r="G61" s="6">
        <v>4.0000000000000001E-3</v>
      </c>
      <c r="H61" s="1">
        <v>0.01</v>
      </c>
      <c r="I61" s="1"/>
    </row>
    <row r="62" spans="1:9" x14ac:dyDescent="0.3">
      <c r="A62" s="1" t="s">
        <v>21</v>
      </c>
      <c r="B62" s="1" t="s">
        <v>15</v>
      </c>
      <c r="C62" s="1" t="s">
        <v>16</v>
      </c>
      <c r="D62" s="1">
        <v>65536</v>
      </c>
      <c r="E62" s="3">
        <v>20.18</v>
      </c>
      <c r="F62" s="5">
        <v>49564712.969999999</v>
      </c>
      <c r="G62" s="6">
        <v>3.5000000000000003E-2</v>
      </c>
      <c r="H62" s="1">
        <v>0.01</v>
      </c>
      <c r="I62" s="1"/>
    </row>
    <row r="63" spans="1:9" x14ac:dyDescent="0.3">
      <c r="A63" s="1" t="s">
        <v>21</v>
      </c>
      <c r="B63" s="1" t="s">
        <v>15</v>
      </c>
      <c r="C63" s="1" t="s">
        <v>17</v>
      </c>
      <c r="D63" s="1">
        <v>65536</v>
      </c>
      <c r="E63" s="3">
        <v>120.74</v>
      </c>
      <c r="F63" s="5">
        <v>8282425.4500000002</v>
      </c>
      <c r="G63" s="6">
        <v>1.7999999999999999E-2</v>
      </c>
      <c r="H63" s="1">
        <v>0.09</v>
      </c>
      <c r="I63" s="1"/>
    </row>
    <row r="64" spans="1:9" x14ac:dyDescent="0.3">
      <c r="A64" s="1" t="s">
        <v>21</v>
      </c>
      <c r="B64" s="1" t="s">
        <v>18</v>
      </c>
      <c r="C64" s="1" t="s">
        <v>16</v>
      </c>
      <c r="D64" s="1">
        <v>65536</v>
      </c>
      <c r="E64" s="3">
        <v>37.26</v>
      </c>
      <c r="F64" s="5">
        <v>26837678.239999998</v>
      </c>
      <c r="G64" s="6">
        <v>4.1000000000000002E-2</v>
      </c>
      <c r="H64" s="1">
        <v>0.03</v>
      </c>
      <c r="I64" s="1"/>
    </row>
    <row r="65" spans="1:9" x14ac:dyDescent="0.3">
      <c r="A65" s="1" t="s">
        <v>21</v>
      </c>
      <c r="B65" s="1" t="s">
        <v>18</v>
      </c>
      <c r="C65" s="1" t="s">
        <v>17</v>
      </c>
      <c r="D65" s="1">
        <v>65536</v>
      </c>
      <c r="E65" s="3">
        <v>96.52</v>
      </c>
      <c r="F65" s="5">
        <v>10360286.16</v>
      </c>
      <c r="G65" s="6">
        <v>4.1000000000000002E-2</v>
      </c>
      <c r="H65" s="1">
        <v>7.0000000000000007E-2</v>
      </c>
      <c r="I65" s="1"/>
    </row>
    <row r="66" spans="1:9" x14ac:dyDescent="0.3">
      <c r="A66" s="1" t="s">
        <v>21</v>
      </c>
      <c r="B66" s="1" t="s">
        <v>19</v>
      </c>
      <c r="C66" s="1" t="s">
        <v>16</v>
      </c>
      <c r="D66" s="1">
        <v>65536</v>
      </c>
      <c r="E66" s="3">
        <v>28.05</v>
      </c>
      <c r="F66" s="5">
        <v>35654867.670000002</v>
      </c>
      <c r="G66" s="6">
        <v>1.4E-2</v>
      </c>
      <c r="H66" s="1">
        <v>0.02</v>
      </c>
      <c r="I66" s="1"/>
    </row>
    <row r="67" spans="1:9" x14ac:dyDescent="0.3">
      <c r="A67" s="1" t="s">
        <v>21</v>
      </c>
      <c r="B67" s="1" t="s">
        <v>19</v>
      </c>
      <c r="C67" s="1" t="s">
        <v>17</v>
      </c>
      <c r="D67" s="1">
        <v>65536</v>
      </c>
      <c r="E67" s="3">
        <v>125.05</v>
      </c>
      <c r="F67" s="5">
        <v>7996557.1500000004</v>
      </c>
      <c r="G67" s="6">
        <v>8.0000000000000002E-3</v>
      </c>
      <c r="H67" s="1">
        <v>0.09</v>
      </c>
      <c r="I67" s="1"/>
    </row>
    <row r="68" spans="1:9" x14ac:dyDescent="0.3">
      <c r="A68" s="1" t="s">
        <v>21</v>
      </c>
      <c r="B68" s="1" t="s">
        <v>15</v>
      </c>
      <c r="C68" s="1" t="s">
        <v>16</v>
      </c>
      <c r="D68" s="1">
        <v>262144</v>
      </c>
      <c r="E68" s="3">
        <v>25.66</v>
      </c>
      <c r="F68" s="5">
        <v>38969510.469999999</v>
      </c>
      <c r="G68" s="6">
        <v>0.13400000000000001</v>
      </c>
      <c r="H68" s="1">
        <v>7.0000000000000007E-2</v>
      </c>
      <c r="I68" s="1" t="s">
        <v>39</v>
      </c>
    </row>
    <row r="69" spans="1:9" x14ac:dyDescent="0.3">
      <c r="A69" s="1" t="s">
        <v>21</v>
      </c>
      <c r="B69" s="1" t="s">
        <v>15</v>
      </c>
      <c r="C69" s="1" t="s">
        <v>17</v>
      </c>
      <c r="D69" s="1">
        <v>262144</v>
      </c>
      <c r="E69" s="3">
        <v>208.63</v>
      </c>
      <c r="F69" s="5">
        <v>4793086.42</v>
      </c>
      <c r="G69" s="6">
        <v>1.4999999999999999E-2</v>
      </c>
      <c r="H69" s="1">
        <v>0.6</v>
      </c>
      <c r="I69" s="1"/>
    </row>
    <row r="70" spans="1:9" x14ac:dyDescent="0.3">
      <c r="A70" s="1" t="s">
        <v>21</v>
      </c>
      <c r="B70" s="1" t="s">
        <v>18</v>
      </c>
      <c r="C70" s="1" t="s">
        <v>16</v>
      </c>
      <c r="D70" s="1">
        <v>262144</v>
      </c>
      <c r="E70" s="3">
        <v>39.729999999999997</v>
      </c>
      <c r="F70" s="5">
        <v>25168623.559999999</v>
      </c>
      <c r="G70" s="6">
        <v>7.4999999999999997E-2</v>
      </c>
      <c r="H70" s="1">
        <v>0.12</v>
      </c>
      <c r="I70" s="1" t="s">
        <v>39</v>
      </c>
    </row>
    <row r="71" spans="1:9" x14ac:dyDescent="0.3">
      <c r="A71" s="1" t="s">
        <v>21</v>
      </c>
      <c r="B71" s="1" t="s">
        <v>18</v>
      </c>
      <c r="C71" s="1" t="s">
        <v>17</v>
      </c>
      <c r="D71" s="1">
        <v>262144</v>
      </c>
      <c r="E71" s="3">
        <v>174.9</v>
      </c>
      <c r="F71" s="5">
        <v>5717628.5300000003</v>
      </c>
      <c r="G71" s="6">
        <v>1.0999999999999999E-2</v>
      </c>
      <c r="H71" s="1">
        <v>0.5</v>
      </c>
      <c r="I71" s="1"/>
    </row>
    <row r="72" spans="1:9" x14ac:dyDescent="0.3">
      <c r="A72" s="1" t="s">
        <v>21</v>
      </c>
      <c r="B72" s="1" t="s">
        <v>19</v>
      </c>
      <c r="C72" s="1" t="s">
        <v>16</v>
      </c>
      <c r="D72" s="1">
        <v>262144</v>
      </c>
      <c r="E72" s="3">
        <v>32.659999999999997</v>
      </c>
      <c r="F72" s="5">
        <v>30620013.690000001</v>
      </c>
      <c r="G72" s="6">
        <v>2.5999999999999999E-2</v>
      </c>
      <c r="H72" s="1">
        <v>0.1</v>
      </c>
      <c r="I72" s="1"/>
    </row>
    <row r="73" spans="1:9" x14ac:dyDescent="0.3">
      <c r="A73" s="1" t="s">
        <v>21</v>
      </c>
      <c r="B73" s="1" t="s">
        <v>19</v>
      </c>
      <c r="C73" s="1" t="s">
        <v>17</v>
      </c>
      <c r="D73" s="1">
        <v>262144</v>
      </c>
      <c r="E73" s="3">
        <v>210.82</v>
      </c>
      <c r="F73" s="5">
        <v>4743443.07</v>
      </c>
      <c r="G73" s="6">
        <v>4.0000000000000001E-3</v>
      </c>
      <c r="H73" s="1">
        <v>0.6</v>
      </c>
      <c r="I7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8" customWidth="1"/>
    <col min="4" max="4" width="9" customWidth="1"/>
    <col min="5" max="5" width="10" customWidth="1"/>
    <col min="6" max="6" width="14" customWidth="1"/>
    <col min="7" max="7" width="8" customWidth="1"/>
    <col min="8" max="9" width="10" customWidth="1"/>
  </cols>
  <sheetData>
    <row r="1" spans="1:9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spans="1:9" x14ac:dyDescent="0.3">
      <c r="A2" s="1" t="s">
        <v>14</v>
      </c>
      <c r="B2" s="1" t="s">
        <v>15</v>
      </c>
      <c r="C2" s="1" t="s">
        <v>16</v>
      </c>
      <c r="D2" s="1">
        <v>4096</v>
      </c>
      <c r="E2" s="3">
        <v>45.89</v>
      </c>
      <c r="F2" s="5">
        <v>21789283.68</v>
      </c>
      <c r="G2" s="6">
        <v>1.4999999999999999E-2</v>
      </c>
      <c r="H2" s="1">
        <v>0.11</v>
      </c>
      <c r="I2" s="1"/>
    </row>
    <row r="3" spans="1:9" x14ac:dyDescent="0.3">
      <c r="A3" s="1" t="s">
        <v>14</v>
      </c>
      <c r="B3" s="1" t="s">
        <v>15</v>
      </c>
      <c r="C3" s="1" t="s">
        <v>17</v>
      </c>
      <c r="D3" s="1">
        <v>4096</v>
      </c>
      <c r="E3" s="3">
        <v>41.21</v>
      </c>
      <c r="F3" s="5">
        <v>24268617.890000001</v>
      </c>
      <c r="G3" s="6">
        <v>5.0000000000000001E-3</v>
      </c>
      <c r="H3" s="1">
        <v>0.1</v>
      </c>
      <c r="I3" s="1"/>
    </row>
    <row r="4" spans="1:9" x14ac:dyDescent="0.3">
      <c r="A4" s="1" t="s">
        <v>14</v>
      </c>
      <c r="B4" s="1" t="s">
        <v>18</v>
      </c>
      <c r="C4" s="1" t="s">
        <v>16</v>
      </c>
      <c r="D4" s="1">
        <v>4096</v>
      </c>
      <c r="E4" s="3">
        <v>14.26</v>
      </c>
      <c r="F4" s="5">
        <v>70134378.019999996</v>
      </c>
      <c r="G4" s="6">
        <v>8.0000000000000002E-3</v>
      </c>
      <c r="H4" s="1">
        <v>0.03</v>
      </c>
      <c r="I4" s="1"/>
    </row>
    <row r="5" spans="1:9" x14ac:dyDescent="0.3">
      <c r="A5" s="1" t="s">
        <v>14</v>
      </c>
      <c r="B5" s="1" t="s">
        <v>18</v>
      </c>
      <c r="C5" s="1" t="s">
        <v>17</v>
      </c>
      <c r="D5" s="1">
        <v>4096</v>
      </c>
      <c r="E5" s="3">
        <v>12.95</v>
      </c>
      <c r="F5" s="5">
        <v>77202565.670000002</v>
      </c>
      <c r="G5" s="6">
        <v>1.6E-2</v>
      </c>
      <c r="H5" s="1">
        <v>0.03</v>
      </c>
      <c r="I5" s="1"/>
    </row>
    <row r="6" spans="1:9" x14ac:dyDescent="0.3">
      <c r="A6" s="1" t="s">
        <v>14</v>
      </c>
      <c r="B6" s="1" t="s">
        <v>19</v>
      </c>
      <c r="C6" s="1" t="s">
        <v>16</v>
      </c>
      <c r="D6" s="1">
        <v>4096</v>
      </c>
      <c r="E6" s="3">
        <v>9.42</v>
      </c>
      <c r="F6" s="5">
        <v>106210038.06</v>
      </c>
      <c r="G6" s="6">
        <v>1.4999999999999999E-2</v>
      </c>
      <c r="H6" s="1">
        <v>0.02</v>
      </c>
      <c r="I6" s="1"/>
    </row>
    <row r="7" spans="1:9" x14ac:dyDescent="0.3">
      <c r="A7" s="1" t="s">
        <v>14</v>
      </c>
      <c r="B7" s="1" t="s">
        <v>19</v>
      </c>
      <c r="C7" s="1" t="s">
        <v>17</v>
      </c>
      <c r="D7" s="1">
        <v>4096</v>
      </c>
      <c r="E7" s="3">
        <v>11.6</v>
      </c>
      <c r="F7" s="5">
        <v>86173434.700000003</v>
      </c>
      <c r="G7" s="6">
        <v>8.9999999999999993E-3</v>
      </c>
      <c r="H7" s="1">
        <v>0.03</v>
      </c>
      <c r="I7" s="1"/>
    </row>
    <row r="8" spans="1:9" x14ac:dyDescent="0.3">
      <c r="A8" s="1" t="s">
        <v>14</v>
      </c>
      <c r="B8" s="1" t="s">
        <v>15</v>
      </c>
      <c r="C8" s="1" t="s">
        <v>16</v>
      </c>
      <c r="D8" s="1">
        <v>16384</v>
      </c>
      <c r="E8" s="3">
        <v>65.72</v>
      </c>
      <c r="F8" s="5">
        <v>15216735.85</v>
      </c>
      <c r="G8" s="6">
        <v>1.0999999999999999E-2</v>
      </c>
      <c r="H8" s="1">
        <v>0.16</v>
      </c>
      <c r="I8" s="1"/>
    </row>
    <row r="9" spans="1:9" x14ac:dyDescent="0.3">
      <c r="A9" s="1" t="s">
        <v>14</v>
      </c>
      <c r="B9" s="1" t="s">
        <v>15</v>
      </c>
      <c r="C9" s="1" t="s">
        <v>17</v>
      </c>
      <c r="D9" s="1">
        <v>16384</v>
      </c>
      <c r="E9" s="3">
        <v>58.66</v>
      </c>
      <c r="F9" s="5">
        <v>17046101.100000001</v>
      </c>
      <c r="G9" s="6">
        <v>8.0000000000000002E-3</v>
      </c>
      <c r="H9" s="1">
        <v>0.14000000000000001</v>
      </c>
      <c r="I9" s="1"/>
    </row>
    <row r="10" spans="1:9" x14ac:dyDescent="0.3">
      <c r="A10" s="1" t="s">
        <v>14</v>
      </c>
      <c r="B10" s="1" t="s">
        <v>18</v>
      </c>
      <c r="C10" s="1" t="s">
        <v>16</v>
      </c>
      <c r="D10" s="1">
        <v>16384</v>
      </c>
      <c r="E10" s="3">
        <v>26.5</v>
      </c>
      <c r="F10" s="5">
        <v>37733613.869999997</v>
      </c>
      <c r="G10" s="6">
        <v>1.4E-2</v>
      </c>
      <c r="H10" s="1">
        <v>0.06</v>
      </c>
      <c r="I10" s="1"/>
    </row>
    <row r="11" spans="1:9" x14ac:dyDescent="0.3">
      <c r="A11" s="1" t="s">
        <v>14</v>
      </c>
      <c r="B11" s="1" t="s">
        <v>18</v>
      </c>
      <c r="C11" s="1" t="s">
        <v>17</v>
      </c>
      <c r="D11" s="1">
        <v>16384</v>
      </c>
      <c r="E11" s="3">
        <v>23.99</v>
      </c>
      <c r="F11" s="5">
        <v>41676683.280000001</v>
      </c>
      <c r="G11" s="6">
        <v>1.0999999999999999E-2</v>
      </c>
      <c r="H11" s="1">
        <v>0.06</v>
      </c>
      <c r="I11" s="1"/>
    </row>
    <row r="12" spans="1:9" x14ac:dyDescent="0.3">
      <c r="A12" s="1" t="s">
        <v>14</v>
      </c>
      <c r="B12" s="1" t="s">
        <v>19</v>
      </c>
      <c r="C12" s="1" t="s">
        <v>16</v>
      </c>
      <c r="D12" s="1">
        <v>16384</v>
      </c>
      <c r="E12" s="3">
        <v>18.18</v>
      </c>
      <c r="F12" s="5">
        <v>54990587.75</v>
      </c>
      <c r="G12" s="6">
        <v>1.2999999999999999E-2</v>
      </c>
      <c r="H12" s="1">
        <v>0.04</v>
      </c>
      <c r="I12" s="1"/>
    </row>
    <row r="13" spans="1:9" x14ac:dyDescent="0.3">
      <c r="A13" s="1" t="s">
        <v>14</v>
      </c>
      <c r="B13" s="1" t="s">
        <v>19</v>
      </c>
      <c r="C13" s="1" t="s">
        <v>17</v>
      </c>
      <c r="D13" s="1">
        <v>16384</v>
      </c>
      <c r="E13" s="3">
        <v>21.43</v>
      </c>
      <c r="F13" s="5">
        <v>46655683.770000003</v>
      </c>
      <c r="G13" s="6">
        <v>1.2999999999999999E-2</v>
      </c>
      <c r="H13" s="1">
        <v>0.05</v>
      </c>
      <c r="I13" s="1"/>
    </row>
    <row r="14" spans="1:9" x14ac:dyDescent="0.3">
      <c r="A14" s="1" t="s">
        <v>14</v>
      </c>
      <c r="B14" s="1" t="s">
        <v>15</v>
      </c>
      <c r="C14" s="1" t="s">
        <v>16</v>
      </c>
      <c r="D14" s="1">
        <v>65536</v>
      </c>
      <c r="E14" s="3">
        <v>97.52</v>
      </c>
      <c r="F14" s="5">
        <v>10254697.800000001</v>
      </c>
      <c r="G14" s="6">
        <v>7.0000000000000001E-3</v>
      </c>
      <c r="H14" s="1">
        <v>0.24</v>
      </c>
      <c r="I14" s="1"/>
    </row>
    <row r="15" spans="1:9" x14ac:dyDescent="0.3">
      <c r="A15" s="1" t="s">
        <v>14</v>
      </c>
      <c r="B15" s="1" t="s">
        <v>15</v>
      </c>
      <c r="C15" s="1" t="s">
        <v>17</v>
      </c>
      <c r="D15" s="1">
        <v>65536</v>
      </c>
      <c r="E15" s="3">
        <v>95.46</v>
      </c>
      <c r="F15" s="5">
        <v>10475987.890000001</v>
      </c>
      <c r="G15" s="6">
        <v>1.2E-2</v>
      </c>
      <c r="H15" s="1">
        <v>0.23</v>
      </c>
      <c r="I15" s="1"/>
    </row>
    <row r="16" spans="1:9" x14ac:dyDescent="0.3">
      <c r="A16" s="1" t="s">
        <v>14</v>
      </c>
      <c r="B16" s="1" t="s">
        <v>18</v>
      </c>
      <c r="C16" s="1" t="s">
        <v>16</v>
      </c>
      <c r="D16" s="1">
        <v>65536</v>
      </c>
      <c r="E16" s="3">
        <v>41.03</v>
      </c>
      <c r="F16" s="5">
        <v>24372145.609999999</v>
      </c>
      <c r="G16" s="6">
        <v>3.0000000000000001E-3</v>
      </c>
      <c r="H16" s="1">
        <v>0.1</v>
      </c>
      <c r="I16" s="1"/>
    </row>
    <row r="17" spans="1:9" x14ac:dyDescent="0.3">
      <c r="A17" s="1" t="s">
        <v>14</v>
      </c>
      <c r="B17" s="1" t="s">
        <v>18</v>
      </c>
      <c r="C17" s="1" t="s">
        <v>17</v>
      </c>
      <c r="D17" s="1">
        <v>65536</v>
      </c>
      <c r="E17" s="3">
        <v>35.869999999999997</v>
      </c>
      <c r="F17" s="5">
        <v>27877643.539999999</v>
      </c>
      <c r="G17" s="6">
        <v>1.2E-2</v>
      </c>
      <c r="H17" s="1">
        <v>0.09</v>
      </c>
      <c r="I17" s="1"/>
    </row>
    <row r="18" spans="1:9" x14ac:dyDescent="0.3">
      <c r="A18" s="1" t="s">
        <v>14</v>
      </c>
      <c r="B18" s="1" t="s">
        <v>19</v>
      </c>
      <c r="C18" s="1" t="s">
        <v>16</v>
      </c>
      <c r="D18" s="1">
        <v>65536</v>
      </c>
      <c r="E18" s="3">
        <v>26.07</v>
      </c>
      <c r="F18" s="5">
        <v>38362123.640000001</v>
      </c>
      <c r="G18" s="6">
        <v>5.0000000000000001E-3</v>
      </c>
      <c r="H18" s="1">
        <v>0.06</v>
      </c>
      <c r="I18" s="1"/>
    </row>
    <row r="19" spans="1:9" x14ac:dyDescent="0.3">
      <c r="A19" s="1" t="s">
        <v>14</v>
      </c>
      <c r="B19" s="1" t="s">
        <v>19</v>
      </c>
      <c r="C19" s="1" t="s">
        <v>17</v>
      </c>
      <c r="D19" s="1">
        <v>65536</v>
      </c>
      <c r="E19" s="3">
        <v>30.26</v>
      </c>
      <c r="F19" s="5">
        <v>33046875.129999999</v>
      </c>
      <c r="G19" s="6">
        <v>6.0000000000000001E-3</v>
      </c>
      <c r="H19" s="1">
        <v>7.0000000000000007E-2</v>
      </c>
      <c r="I19" s="1"/>
    </row>
    <row r="20" spans="1:9" x14ac:dyDescent="0.3">
      <c r="A20" s="1" t="s">
        <v>14</v>
      </c>
      <c r="B20" s="1" t="s">
        <v>15</v>
      </c>
      <c r="C20" s="1" t="s">
        <v>16</v>
      </c>
      <c r="D20" s="1">
        <v>262144</v>
      </c>
      <c r="E20" s="3">
        <v>183.11</v>
      </c>
      <c r="F20" s="5">
        <v>5461139.1600000001</v>
      </c>
      <c r="G20" s="6">
        <v>8.0000000000000002E-3</v>
      </c>
      <c r="H20" s="1">
        <v>0.45</v>
      </c>
      <c r="I20" s="1"/>
    </row>
    <row r="21" spans="1:9" x14ac:dyDescent="0.3">
      <c r="A21" s="1" t="s">
        <v>14</v>
      </c>
      <c r="B21" s="1" t="s">
        <v>15</v>
      </c>
      <c r="C21" s="1" t="s">
        <v>17</v>
      </c>
      <c r="D21" s="1">
        <v>262144</v>
      </c>
      <c r="E21" s="3">
        <v>182.48</v>
      </c>
      <c r="F21" s="5">
        <v>5479902.96</v>
      </c>
      <c r="G21" s="6">
        <v>2.5999999999999999E-2</v>
      </c>
      <c r="H21" s="1">
        <v>0.49</v>
      </c>
      <c r="I21" s="1"/>
    </row>
    <row r="22" spans="1:9" x14ac:dyDescent="0.3">
      <c r="A22" s="1" t="s">
        <v>14</v>
      </c>
      <c r="B22" s="1" t="s">
        <v>18</v>
      </c>
      <c r="C22" s="1" t="s">
        <v>16</v>
      </c>
      <c r="D22" s="1">
        <v>262144</v>
      </c>
      <c r="E22" s="3">
        <v>76.33</v>
      </c>
      <c r="F22" s="5">
        <v>13101175.26</v>
      </c>
      <c r="G22" s="6">
        <v>4.0000000000000001E-3</v>
      </c>
      <c r="H22" s="1">
        <v>0.17</v>
      </c>
      <c r="I22" s="1"/>
    </row>
    <row r="23" spans="1:9" x14ac:dyDescent="0.3">
      <c r="A23" s="1" t="s">
        <v>14</v>
      </c>
      <c r="B23" s="1" t="s">
        <v>18</v>
      </c>
      <c r="C23" s="1" t="s">
        <v>17</v>
      </c>
      <c r="D23" s="1">
        <v>262144</v>
      </c>
      <c r="E23" s="3">
        <v>72.42</v>
      </c>
      <c r="F23" s="5">
        <v>13809113.84</v>
      </c>
      <c r="G23" s="6">
        <v>0.01</v>
      </c>
      <c r="H23" s="1">
        <v>0.16</v>
      </c>
      <c r="I23" s="1"/>
    </row>
    <row r="24" spans="1:9" x14ac:dyDescent="0.3">
      <c r="A24" s="1" t="s">
        <v>14</v>
      </c>
      <c r="B24" s="1" t="s">
        <v>19</v>
      </c>
      <c r="C24" s="1" t="s">
        <v>16</v>
      </c>
      <c r="D24" s="1">
        <v>262144</v>
      </c>
      <c r="E24" s="3">
        <v>46.92</v>
      </c>
      <c r="F24" s="5">
        <v>21311418.280000001</v>
      </c>
      <c r="G24" s="6">
        <v>2.3E-2</v>
      </c>
      <c r="H24" s="1">
        <v>0.12</v>
      </c>
      <c r="I24" s="1"/>
    </row>
    <row r="25" spans="1:9" x14ac:dyDescent="0.3">
      <c r="A25" s="1" t="s">
        <v>14</v>
      </c>
      <c r="B25" s="1" t="s">
        <v>19</v>
      </c>
      <c r="C25" s="1" t="s">
        <v>17</v>
      </c>
      <c r="D25" s="1">
        <v>262144</v>
      </c>
      <c r="E25" s="3">
        <v>51.32</v>
      </c>
      <c r="F25" s="5">
        <v>19485311.809999999</v>
      </c>
      <c r="G25" s="6">
        <v>5.0000000000000001E-3</v>
      </c>
      <c r="H25" s="1">
        <v>0.12</v>
      </c>
      <c r="I25" s="1"/>
    </row>
    <row r="26" spans="1:9" x14ac:dyDescent="0.3">
      <c r="A26" s="1" t="s">
        <v>20</v>
      </c>
      <c r="B26" s="1" t="s">
        <v>15</v>
      </c>
      <c r="C26" s="1" t="s">
        <v>16</v>
      </c>
      <c r="D26" s="1">
        <v>4096</v>
      </c>
      <c r="E26" s="3">
        <v>18.64</v>
      </c>
      <c r="F26" s="5">
        <v>53656108.359999999</v>
      </c>
      <c r="G26" s="6">
        <v>1.0999999999999999E-2</v>
      </c>
      <c r="H26" s="1">
        <v>0</v>
      </c>
      <c r="I26" s="1"/>
    </row>
    <row r="27" spans="1:9" x14ac:dyDescent="0.3">
      <c r="A27" s="1" t="s">
        <v>20</v>
      </c>
      <c r="B27" s="1" t="s">
        <v>15</v>
      </c>
      <c r="C27" s="1" t="s">
        <v>17</v>
      </c>
      <c r="D27" s="1">
        <v>4096</v>
      </c>
      <c r="E27" s="3">
        <v>55.53</v>
      </c>
      <c r="F27" s="5">
        <v>18008749.370000001</v>
      </c>
      <c r="G27" s="6">
        <v>1.2E-2</v>
      </c>
      <c r="H27" s="1">
        <v>0</v>
      </c>
      <c r="I27" s="1"/>
    </row>
    <row r="28" spans="1:9" x14ac:dyDescent="0.3">
      <c r="A28" s="1" t="s">
        <v>20</v>
      </c>
      <c r="B28" s="1" t="s">
        <v>18</v>
      </c>
      <c r="C28" s="1" t="s">
        <v>16</v>
      </c>
      <c r="D28" s="1">
        <v>4096</v>
      </c>
      <c r="E28" s="3">
        <v>23.02</v>
      </c>
      <c r="F28" s="5">
        <v>43447361.439999998</v>
      </c>
      <c r="G28" s="6">
        <v>1.7999999999999999E-2</v>
      </c>
      <c r="H28" s="1">
        <v>0</v>
      </c>
      <c r="I28" s="1"/>
    </row>
    <row r="29" spans="1:9" x14ac:dyDescent="0.3">
      <c r="A29" s="1" t="s">
        <v>20</v>
      </c>
      <c r="B29" s="1" t="s">
        <v>18</v>
      </c>
      <c r="C29" s="1" t="s">
        <v>17</v>
      </c>
      <c r="D29" s="1">
        <v>4096</v>
      </c>
      <c r="E29" s="3">
        <v>37.29</v>
      </c>
      <c r="F29" s="5">
        <v>26820149.16</v>
      </c>
      <c r="G29" s="6">
        <v>1.7000000000000001E-2</v>
      </c>
      <c r="H29" s="1">
        <v>0</v>
      </c>
      <c r="I29" s="1"/>
    </row>
    <row r="30" spans="1:9" x14ac:dyDescent="0.3">
      <c r="A30" s="1" t="s">
        <v>20</v>
      </c>
      <c r="B30" s="1" t="s">
        <v>19</v>
      </c>
      <c r="C30" s="1" t="s">
        <v>16</v>
      </c>
      <c r="D30" s="1">
        <v>4096</v>
      </c>
      <c r="E30" s="3">
        <v>24.15</v>
      </c>
      <c r="F30" s="5">
        <v>41415990.049999997</v>
      </c>
      <c r="G30" s="6">
        <v>5.0999999999999997E-2</v>
      </c>
      <c r="H30" s="1">
        <v>0</v>
      </c>
      <c r="I30" s="1" t="s">
        <v>39</v>
      </c>
    </row>
    <row r="31" spans="1:9" x14ac:dyDescent="0.3">
      <c r="A31" s="1" t="s">
        <v>20</v>
      </c>
      <c r="B31" s="1" t="s">
        <v>19</v>
      </c>
      <c r="C31" s="1" t="s">
        <v>17</v>
      </c>
      <c r="D31" s="1">
        <v>4096</v>
      </c>
      <c r="E31" s="3">
        <v>60.92</v>
      </c>
      <c r="F31" s="5">
        <v>16414136.35</v>
      </c>
      <c r="G31" s="6">
        <v>1.6E-2</v>
      </c>
      <c r="H31" s="1">
        <v>0</v>
      </c>
      <c r="I31" s="1"/>
    </row>
    <row r="32" spans="1:9" x14ac:dyDescent="0.3">
      <c r="A32" s="1" t="s">
        <v>20</v>
      </c>
      <c r="B32" s="1" t="s">
        <v>15</v>
      </c>
      <c r="C32" s="1" t="s">
        <v>16</v>
      </c>
      <c r="D32" s="1">
        <v>16384</v>
      </c>
      <c r="E32" s="3">
        <v>24.77</v>
      </c>
      <c r="F32" s="5">
        <v>40378449.380000003</v>
      </c>
      <c r="G32" s="6">
        <v>7.8E-2</v>
      </c>
      <c r="H32" s="1">
        <v>0</v>
      </c>
      <c r="I32" s="1" t="s">
        <v>39</v>
      </c>
    </row>
    <row r="33" spans="1:9" x14ac:dyDescent="0.3">
      <c r="A33" s="1" t="s">
        <v>20</v>
      </c>
      <c r="B33" s="1" t="s">
        <v>15</v>
      </c>
      <c r="C33" s="1" t="s">
        <v>17</v>
      </c>
      <c r="D33" s="1">
        <v>16384</v>
      </c>
      <c r="E33" s="3">
        <v>70.349999999999994</v>
      </c>
      <c r="F33" s="5">
        <v>14214522.689999999</v>
      </c>
      <c r="G33" s="6">
        <v>2.5999999999999999E-2</v>
      </c>
      <c r="H33" s="1">
        <v>0.01</v>
      </c>
      <c r="I33" s="1"/>
    </row>
    <row r="34" spans="1:9" x14ac:dyDescent="0.3">
      <c r="A34" s="1" t="s">
        <v>20</v>
      </c>
      <c r="B34" s="1" t="s">
        <v>18</v>
      </c>
      <c r="C34" s="1" t="s">
        <v>16</v>
      </c>
      <c r="D34" s="1">
        <v>16384</v>
      </c>
      <c r="E34" s="3">
        <v>27.46</v>
      </c>
      <c r="F34" s="5">
        <v>36418114.810000002</v>
      </c>
      <c r="G34" s="6">
        <v>2.5000000000000001E-2</v>
      </c>
      <c r="H34" s="1">
        <v>0</v>
      </c>
      <c r="I34" s="1"/>
    </row>
    <row r="35" spans="1:9" x14ac:dyDescent="0.3">
      <c r="A35" s="1" t="s">
        <v>20</v>
      </c>
      <c r="B35" s="1" t="s">
        <v>18</v>
      </c>
      <c r="C35" s="1" t="s">
        <v>17</v>
      </c>
      <c r="D35" s="1">
        <v>16384</v>
      </c>
      <c r="E35" s="3">
        <v>57.48</v>
      </c>
      <c r="F35" s="5">
        <v>17396936.640000001</v>
      </c>
      <c r="G35" s="6">
        <v>1.6E-2</v>
      </c>
      <c r="H35" s="1">
        <v>0.01</v>
      </c>
      <c r="I35" s="1"/>
    </row>
    <row r="36" spans="1:9" x14ac:dyDescent="0.3">
      <c r="A36" s="1" t="s">
        <v>20</v>
      </c>
      <c r="B36" s="1" t="s">
        <v>19</v>
      </c>
      <c r="C36" s="1" t="s">
        <v>16</v>
      </c>
      <c r="D36" s="1">
        <v>16384</v>
      </c>
      <c r="E36" s="3">
        <v>29.1</v>
      </c>
      <c r="F36" s="5">
        <v>34369840.799999997</v>
      </c>
      <c r="G36" s="6">
        <v>6.8000000000000005E-2</v>
      </c>
      <c r="H36" s="1">
        <v>0.01</v>
      </c>
      <c r="I36" s="1" t="s">
        <v>39</v>
      </c>
    </row>
    <row r="37" spans="1:9" x14ac:dyDescent="0.3">
      <c r="A37" s="1" t="s">
        <v>20</v>
      </c>
      <c r="B37" s="1" t="s">
        <v>19</v>
      </c>
      <c r="C37" s="1" t="s">
        <v>17</v>
      </c>
      <c r="D37" s="1">
        <v>16384</v>
      </c>
      <c r="E37" s="3">
        <v>78.87</v>
      </c>
      <c r="F37" s="5">
        <v>12678818.23</v>
      </c>
      <c r="G37" s="6">
        <v>6.0000000000000001E-3</v>
      </c>
      <c r="H37" s="1">
        <v>0.01</v>
      </c>
      <c r="I37" s="1"/>
    </row>
    <row r="38" spans="1:9" x14ac:dyDescent="0.3">
      <c r="A38" s="1" t="s">
        <v>20</v>
      </c>
      <c r="B38" s="1" t="s">
        <v>15</v>
      </c>
      <c r="C38" s="1" t="s">
        <v>16</v>
      </c>
      <c r="D38" s="1">
        <v>65536</v>
      </c>
      <c r="E38" s="3">
        <v>55.17</v>
      </c>
      <c r="F38" s="5">
        <v>18124209.579999998</v>
      </c>
      <c r="G38" s="6">
        <v>8.5999999999999993E-2</v>
      </c>
      <c r="H38" s="1">
        <v>0.03</v>
      </c>
      <c r="I38" s="1" t="s">
        <v>39</v>
      </c>
    </row>
    <row r="39" spans="1:9" x14ac:dyDescent="0.3">
      <c r="A39" s="1" t="s">
        <v>20</v>
      </c>
      <c r="B39" s="1" t="s">
        <v>15</v>
      </c>
      <c r="C39" s="1" t="s">
        <v>17</v>
      </c>
      <c r="D39" s="1">
        <v>65536</v>
      </c>
      <c r="E39" s="3">
        <v>93.94</v>
      </c>
      <c r="F39" s="5">
        <v>10645586.880000001</v>
      </c>
      <c r="G39" s="6">
        <v>5.0000000000000001E-3</v>
      </c>
      <c r="H39" s="1">
        <v>7.0000000000000007E-2</v>
      </c>
      <c r="I39" s="1"/>
    </row>
    <row r="40" spans="1:9" x14ac:dyDescent="0.3">
      <c r="A40" s="1" t="s">
        <v>20</v>
      </c>
      <c r="B40" s="1" t="s">
        <v>18</v>
      </c>
      <c r="C40" s="1" t="s">
        <v>16</v>
      </c>
      <c r="D40" s="1">
        <v>65536</v>
      </c>
      <c r="E40" s="3">
        <v>60.8</v>
      </c>
      <c r="F40" s="5">
        <v>16446818.619999999</v>
      </c>
      <c r="G40" s="6">
        <v>0.16500000000000001</v>
      </c>
      <c r="H40" s="1">
        <v>0.04</v>
      </c>
      <c r="I40" s="1" t="s">
        <v>39</v>
      </c>
    </row>
    <row r="41" spans="1:9" x14ac:dyDescent="0.3">
      <c r="A41" s="1" t="s">
        <v>20</v>
      </c>
      <c r="B41" s="1" t="s">
        <v>18</v>
      </c>
      <c r="C41" s="1" t="s">
        <v>17</v>
      </c>
      <c r="D41" s="1">
        <v>65536</v>
      </c>
      <c r="E41" s="3">
        <v>95.66</v>
      </c>
      <c r="F41" s="5">
        <v>10453187.869999999</v>
      </c>
      <c r="G41" s="6">
        <v>9.6000000000000002E-2</v>
      </c>
      <c r="H41" s="1">
        <v>7.0000000000000007E-2</v>
      </c>
      <c r="I41" s="1" t="s">
        <v>39</v>
      </c>
    </row>
    <row r="42" spans="1:9" x14ac:dyDescent="0.3">
      <c r="A42" s="1" t="s">
        <v>20</v>
      </c>
      <c r="B42" s="1" t="s">
        <v>19</v>
      </c>
      <c r="C42" s="1" t="s">
        <v>16</v>
      </c>
      <c r="D42" s="1">
        <v>65536</v>
      </c>
      <c r="E42" s="3">
        <v>32.85</v>
      </c>
      <c r="F42" s="5">
        <v>30445651.379999999</v>
      </c>
      <c r="G42" s="6">
        <v>4.3999999999999997E-2</v>
      </c>
      <c r="H42" s="1">
        <v>0.04</v>
      </c>
      <c r="I42" s="1"/>
    </row>
    <row r="43" spans="1:9" x14ac:dyDescent="0.3">
      <c r="A43" s="1" t="s">
        <v>20</v>
      </c>
      <c r="B43" s="1" t="s">
        <v>19</v>
      </c>
      <c r="C43" s="1" t="s">
        <v>17</v>
      </c>
      <c r="D43" s="1">
        <v>65536</v>
      </c>
      <c r="E43" s="3">
        <v>115.86</v>
      </c>
      <c r="F43" s="5">
        <v>8631170.1199999992</v>
      </c>
      <c r="G43" s="6">
        <v>1.4E-2</v>
      </c>
      <c r="H43" s="1">
        <v>0.08</v>
      </c>
      <c r="I43" s="1"/>
    </row>
    <row r="44" spans="1:9" x14ac:dyDescent="0.3">
      <c r="A44" s="1" t="s">
        <v>20</v>
      </c>
      <c r="B44" s="1" t="s">
        <v>15</v>
      </c>
      <c r="C44" s="1" t="s">
        <v>16</v>
      </c>
      <c r="D44" s="1">
        <v>262144</v>
      </c>
      <c r="E44" s="3">
        <v>76.86</v>
      </c>
      <c r="F44" s="5">
        <v>13011286.65</v>
      </c>
      <c r="G44" s="6">
        <v>9.2999999999999999E-2</v>
      </c>
      <c r="H44" s="1">
        <v>0.22</v>
      </c>
      <c r="I44" s="1" t="s">
        <v>39</v>
      </c>
    </row>
    <row r="45" spans="1:9" x14ac:dyDescent="0.3">
      <c r="A45" s="1" t="s">
        <v>20</v>
      </c>
      <c r="B45" s="1" t="s">
        <v>15</v>
      </c>
      <c r="C45" s="1" t="s">
        <v>17</v>
      </c>
      <c r="D45" s="1">
        <v>262144</v>
      </c>
      <c r="E45" s="3">
        <v>145.41</v>
      </c>
      <c r="F45" s="5">
        <v>6877153.5700000003</v>
      </c>
      <c r="G45" s="6">
        <v>5.0000000000000001E-3</v>
      </c>
      <c r="H45" s="1">
        <v>0.42</v>
      </c>
      <c r="I45" s="1"/>
    </row>
    <row r="46" spans="1:9" x14ac:dyDescent="0.3">
      <c r="A46" s="1" t="s">
        <v>20</v>
      </c>
      <c r="B46" s="1" t="s">
        <v>18</v>
      </c>
      <c r="C46" s="1" t="s">
        <v>16</v>
      </c>
      <c r="D46" s="1">
        <v>262144</v>
      </c>
      <c r="E46" s="3">
        <v>87.77</v>
      </c>
      <c r="F46" s="5">
        <v>11393650.26</v>
      </c>
      <c r="G46" s="6">
        <v>1.6E-2</v>
      </c>
      <c r="H46" s="1">
        <v>0.24</v>
      </c>
      <c r="I46" s="1"/>
    </row>
    <row r="47" spans="1:9" x14ac:dyDescent="0.3">
      <c r="A47" s="1" t="s">
        <v>20</v>
      </c>
      <c r="B47" s="1" t="s">
        <v>18</v>
      </c>
      <c r="C47" s="1" t="s">
        <v>17</v>
      </c>
      <c r="D47" s="1">
        <v>262144</v>
      </c>
      <c r="E47" s="3">
        <v>183.5</v>
      </c>
      <c r="F47" s="5">
        <v>5449462.0199999996</v>
      </c>
      <c r="G47" s="6">
        <v>1.9E-2</v>
      </c>
      <c r="H47" s="1">
        <v>0.52</v>
      </c>
      <c r="I47" s="1"/>
    </row>
    <row r="48" spans="1:9" x14ac:dyDescent="0.3">
      <c r="A48" s="1" t="s">
        <v>20</v>
      </c>
      <c r="B48" s="1" t="s">
        <v>19</v>
      </c>
      <c r="C48" s="1" t="s">
        <v>16</v>
      </c>
      <c r="D48" s="1">
        <v>262144</v>
      </c>
      <c r="E48" s="3">
        <v>44.66</v>
      </c>
      <c r="F48" s="5">
        <v>22392235.699999999</v>
      </c>
      <c r="G48" s="6">
        <v>3.3000000000000002E-2</v>
      </c>
      <c r="H48" s="1">
        <v>0.23</v>
      </c>
      <c r="I48" s="1"/>
    </row>
    <row r="49" spans="1:9" x14ac:dyDescent="0.3">
      <c r="A49" s="1" t="s">
        <v>20</v>
      </c>
      <c r="B49" s="1" t="s">
        <v>19</v>
      </c>
      <c r="C49" s="1" t="s">
        <v>17</v>
      </c>
      <c r="D49" s="1">
        <v>262144</v>
      </c>
      <c r="E49" s="3">
        <v>190.93</v>
      </c>
      <c r="F49" s="5">
        <v>5237423.34</v>
      </c>
      <c r="G49" s="6">
        <v>8.9999999999999993E-3</v>
      </c>
      <c r="H49" s="1">
        <v>0.55000000000000004</v>
      </c>
      <c r="I49" s="1"/>
    </row>
    <row r="50" spans="1:9" x14ac:dyDescent="0.3">
      <c r="A50" s="1" t="s">
        <v>21</v>
      </c>
      <c r="B50" s="1" t="s">
        <v>15</v>
      </c>
      <c r="C50" s="1" t="s">
        <v>16</v>
      </c>
      <c r="D50" s="1">
        <v>4096</v>
      </c>
      <c r="E50" s="3">
        <v>22.23</v>
      </c>
      <c r="F50" s="5">
        <v>44992695.280000001</v>
      </c>
      <c r="G50" s="6">
        <v>1.7999999999999999E-2</v>
      </c>
      <c r="H50" s="1">
        <v>0</v>
      </c>
      <c r="I50" s="1"/>
    </row>
    <row r="51" spans="1:9" x14ac:dyDescent="0.3">
      <c r="A51" s="1" t="s">
        <v>21</v>
      </c>
      <c r="B51" s="1" t="s">
        <v>15</v>
      </c>
      <c r="C51" s="1" t="s">
        <v>17</v>
      </c>
      <c r="D51" s="1">
        <v>4096</v>
      </c>
      <c r="E51" s="3">
        <v>64.94</v>
      </c>
      <c r="F51" s="5">
        <v>15398669.91</v>
      </c>
      <c r="G51" s="6">
        <v>1.7000000000000001E-2</v>
      </c>
      <c r="H51" s="1">
        <v>0</v>
      </c>
      <c r="I51" s="1"/>
    </row>
    <row r="52" spans="1:9" x14ac:dyDescent="0.3">
      <c r="A52" s="1" t="s">
        <v>21</v>
      </c>
      <c r="B52" s="1" t="s">
        <v>18</v>
      </c>
      <c r="C52" s="1" t="s">
        <v>16</v>
      </c>
      <c r="D52" s="1">
        <v>4096</v>
      </c>
      <c r="E52" s="3">
        <v>14.2</v>
      </c>
      <c r="F52" s="5">
        <v>70405830.480000004</v>
      </c>
      <c r="G52" s="6">
        <v>6.8000000000000005E-2</v>
      </c>
      <c r="H52" s="1">
        <v>0</v>
      </c>
      <c r="I52" s="1" t="s">
        <v>39</v>
      </c>
    </row>
    <row r="53" spans="1:9" x14ac:dyDescent="0.3">
      <c r="A53" s="1" t="s">
        <v>21</v>
      </c>
      <c r="B53" s="1" t="s">
        <v>18</v>
      </c>
      <c r="C53" s="1" t="s">
        <v>17</v>
      </c>
      <c r="D53" s="1">
        <v>4096</v>
      </c>
      <c r="E53" s="3">
        <v>38.21</v>
      </c>
      <c r="F53" s="5">
        <v>26167842.18</v>
      </c>
      <c r="G53" s="6">
        <v>0.03</v>
      </c>
      <c r="H53" s="1">
        <v>0</v>
      </c>
      <c r="I53" s="1"/>
    </row>
    <row r="54" spans="1:9" x14ac:dyDescent="0.3">
      <c r="A54" s="1" t="s">
        <v>21</v>
      </c>
      <c r="B54" s="1" t="s">
        <v>19</v>
      </c>
      <c r="C54" s="1" t="s">
        <v>16</v>
      </c>
      <c r="D54" s="1">
        <v>4096</v>
      </c>
      <c r="E54" s="3">
        <v>19.03</v>
      </c>
      <c r="F54" s="5">
        <v>52551897.560000002</v>
      </c>
      <c r="G54" s="6">
        <v>3.2000000000000001E-2</v>
      </c>
      <c r="H54" s="1">
        <v>0</v>
      </c>
      <c r="I54" s="1"/>
    </row>
    <row r="55" spans="1:9" x14ac:dyDescent="0.3">
      <c r="A55" s="1" t="s">
        <v>21</v>
      </c>
      <c r="B55" s="1" t="s">
        <v>19</v>
      </c>
      <c r="C55" s="1" t="s">
        <v>17</v>
      </c>
      <c r="D55" s="1">
        <v>4096</v>
      </c>
      <c r="E55" s="3">
        <v>62.55</v>
      </c>
      <c r="F55" s="5">
        <v>15986137.02</v>
      </c>
      <c r="G55" s="6">
        <v>1.0999999999999999E-2</v>
      </c>
      <c r="H55" s="1">
        <v>0</v>
      </c>
      <c r="I55" s="1"/>
    </row>
    <row r="56" spans="1:9" x14ac:dyDescent="0.3">
      <c r="A56" s="1" t="s">
        <v>21</v>
      </c>
      <c r="B56" s="1" t="s">
        <v>15</v>
      </c>
      <c r="C56" s="1" t="s">
        <v>16</v>
      </c>
      <c r="D56" s="1">
        <v>16384</v>
      </c>
      <c r="E56" s="3">
        <v>23.9</v>
      </c>
      <c r="F56" s="5">
        <v>41840854.590000004</v>
      </c>
      <c r="G56" s="6">
        <v>6.2E-2</v>
      </c>
      <c r="H56" s="1">
        <v>0</v>
      </c>
      <c r="I56" s="1" t="s">
        <v>39</v>
      </c>
    </row>
    <row r="57" spans="1:9" x14ac:dyDescent="0.3">
      <c r="A57" s="1" t="s">
        <v>21</v>
      </c>
      <c r="B57" s="1" t="s">
        <v>15</v>
      </c>
      <c r="C57" s="1" t="s">
        <v>17</v>
      </c>
      <c r="D57" s="1">
        <v>16384</v>
      </c>
      <c r="E57" s="3">
        <v>88.54</v>
      </c>
      <c r="F57" s="5">
        <v>11294161.76</v>
      </c>
      <c r="G57" s="6">
        <v>0.01</v>
      </c>
      <c r="H57" s="1">
        <v>0.02</v>
      </c>
      <c r="I57" s="1"/>
    </row>
    <row r="58" spans="1:9" x14ac:dyDescent="0.3">
      <c r="A58" s="1" t="s">
        <v>21</v>
      </c>
      <c r="B58" s="1" t="s">
        <v>18</v>
      </c>
      <c r="C58" s="1" t="s">
        <v>16</v>
      </c>
      <c r="D58" s="1">
        <v>16384</v>
      </c>
      <c r="E58" s="3">
        <v>17.670000000000002</v>
      </c>
      <c r="F58" s="5">
        <v>56583182.530000001</v>
      </c>
      <c r="G58" s="6">
        <v>2.8000000000000001E-2</v>
      </c>
      <c r="H58" s="1">
        <v>0</v>
      </c>
      <c r="I58" s="1"/>
    </row>
    <row r="59" spans="1:9" x14ac:dyDescent="0.3">
      <c r="A59" s="1" t="s">
        <v>21</v>
      </c>
      <c r="B59" s="1" t="s">
        <v>18</v>
      </c>
      <c r="C59" s="1" t="s">
        <v>17</v>
      </c>
      <c r="D59" s="1">
        <v>16384</v>
      </c>
      <c r="E59" s="3">
        <v>54.68</v>
      </c>
      <c r="F59" s="5">
        <v>18288816.850000001</v>
      </c>
      <c r="G59" s="6">
        <v>1.2999999999999999E-2</v>
      </c>
      <c r="H59" s="1">
        <v>0.01</v>
      </c>
      <c r="I59" s="1"/>
    </row>
    <row r="60" spans="1:9" x14ac:dyDescent="0.3">
      <c r="A60" s="1" t="s">
        <v>21</v>
      </c>
      <c r="B60" s="1" t="s">
        <v>19</v>
      </c>
      <c r="C60" s="1" t="s">
        <v>16</v>
      </c>
      <c r="D60" s="1">
        <v>16384</v>
      </c>
      <c r="E60" s="3">
        <v>22.85</v>
      </c>
      <c r="F60" s="5">
        <v>43770270.200000003</v>
      </c>
      <c r="G60" s="6">
        <v>4.2000000000000003E-2</v>
      </c>
      <c r="H60" s="1">
        <v>0</v>
      </c>
      <c r="I60" s="1"/>
    </row>
    <row r="61" spans="1:9" x14ac:dyDescent="0.3">
      <c r="A61" s="1" t="s">
        <v>21</v>
      </c>
      <c r="B61" s="1" t="s">
        <v>19</v>
      </c>
      <c r="C61" s="1" t="s">
        <v>17</v>
      </c>
      <c r="D61" s="1">
        <v>16384</v>
      </c>
      <c r="E61" s="3">
        <v>81.09</v>
      </c>
      <c r="F61" s="5">
        <v>12331239.49</v>
      </c>
      <c r="G61" s="6">
        <v>1.4E-2</v>
      </c>
      <c r="H61" s="1">
        <v>0.01</v>
      </c>
      <c r="I61" s="1"/>
    </row>
    <row r="62" spans="1:9" x14ac:dyDescent="0.3">
      <c r="A62" s="1" t="s">
        <v>21</v>
      </c>
      <c r="B62" s="1" t="s">
        <v>15</v>
      </c>
      <c r="C62" s="1" t="s">
        <v>16</v>
      </c>
      <c r="D62" s="1">
        <v>65536</v>
      </c>
      <c r="E62" s="3">
        <v>24.76</v>
      </c>
      <c r="F62" s="5">
        <v>40388378.229999997</v>
      </c>
      <c r="G62" s="6">
        <v>1.7000000000000001E-2</v>
      </c>
      <c r="H62" s="1">
        <v>0.02</v>
      </c>
      <c r="I62" s="1"/>
    </row>
    <row r="63" spans="1:9" x14ac:dyDescent="0.3">
      <c r="A63" s="1" t="s">
        <v>21</v>
      </c>
      <c r="B63" s="1" t="s">
        <v>15</v>
      </c>
      <c r="C63" s="1" t="s">
        <v>17</v>
      </c>
      <c r="D63" s="1">
        <v>65536</v>
      </c>
      <c r="E63" s="3">
        <v>128.27000000000001</v>
      </c>
      <c r="F63" s="5">
        <v>7796106.8700000001</v>
      </c>
      <c r="G63" s="6">
        <v>1.2E-2</v>
      </c>
      <c r="H63" s="1">
        <v>0.09</v>
      </c>
      <c r="I63" s="1"/>
    </row>
    <row r="64" spans="1:9" x14ac:dyDescent="0.3">
      <c r="A64" s="1" t="s">
        <v>21</v>
      </c>
      <c r="B64" s="1" t="s">
        <v>18</v>
      </c>
      <c r="C64" s="1" t="s">
        <v>16</v>
      </c>
      <c r="D64" s="1">
        <v>65536</v>
      </c>
      <c r="E64" s="3">
        <v>31.66</v>
      </c>
      <c r="F64" s="5">
        <v>31584071.100000001</v>
      </c>
      <c r="G64" s="6">
        <v>4.2000000000000003E-2</v>
      </c>
      <c r="H64" s="1">
        <v>0.02</v>
      </c>
      <c r="I64" s="1"/>
    </row>
    <row r="65" spans="1:9" x14ac:dyDescent="0.3">
      <c r="A65" s="1" t="s">
        <v>21</v>
      </c>
      <c r="B65" s="1" t="s">
        <v>18</v>
      </c>
      <c r="C65" s="1" t="s">
        <v>17</v>
      </c>
      <c r="D65" s="1">
        <v>65536</v>
      </c>
      <c r="E65" s="3">
        <v>101.33</v>
      </c>
      <c r="F65" s="5">
        <v>9868442.3499999996</v>
      </c>
      <c r="G65" s="6">
        <v>3.7999999999999999E-2</v>
      </c>
      <c r="H65" s="1">
        <v>0.08</v>
      </c>
      <c r="I65" s="1"/>
    </row>
    <row r="66" spans="1:9" x14ac:dyDescent="0.3">
      <c r="A66" s="1" t="s">
        <v>21</v>
      </c>
      <c r="B66" s="1" t="s">
        <v>19</v>
      </c>
      <c r="C66" s="1" t="s">
        <v>16</v>
      </c>
      <c r="D66" s="1">
        <v>65536</v>
      </c>
      <c r="E66" s="3">
        <v>27.04</v>
      </c>
      <c r="F66" s="5">
        <v>36978063.460000001</v>
      </c>
      <c r="G66" s="6">
        <v>3.2000000000000001E-2</v>
      </c>
      <c r="H66" s="1">
        <v>0.02</v>
      </c>
      <c r="I66" s="1"/>
    </row>
    <row r="67" spans="1:9" x14ac:dyDescent="0.3">
      <c r="A67" s="1" t="s">
        <v>21</v>
      </c>
      <c r="B67" s="1" t="s">
        <v>19</v>
      </c>
      <c r="C67" s="1" t="s">
        <v>17</v>
      </c>
      <c r="D67" s="1">
        <v>65536</v>
      </c>
      <c r="E67" s="3">
        <v>125.8</v>
      </c>
      <c r="F67" s="5">
        <v>7949089.7300000004</v>
      </c>
      <c r="G67" s="6">
        <v>8.9999999999999993E-3</v>
      </c>
      <c r="H67" s="1">
        <v>0.09</v>
      </c>
      <c r="I67" s="1"/>
    </row>
    <row r="68" spans="1:9" x14ac:dyDescent="0.3">
      <c r="A68" s="1" t="s">
        <v>21</v>
      </c>
      <c r="B68" s="1" t="s">
        <v>15</v>
      </c>
      <c r="C68" s="1" t="s">
        <v>16</v>
      </c>
      <c r="D68" s="1">
        <v>262144</v>
      </c>
      <c r="E68" s="3">
        <v>30.14</v>
      </c>
      <c r="F68" s="5">
        <v>33182831.010000002</v>
      </c>
      <c r="G68" s="6">
        <v>7.4999999999999997E-2</v>
      </c>
      <c r="H68" s="1">
        <v>0.09</v>
      </c>
      <c r="I68" s="1" t="s">
        <v>39</v>
      </c>
    </row>
    <row r="69" spans="1:9" x14ac:dyDescent="0.3">
      <c r="A69" s="1" t="s">
        <v>21</v>
      </c>
      <c r="B69" s="1" t="s">
        <v>15</v>
      </c>
      <c r="C69" s="1" t="s">
        <v>17</v>
      </c>
      <c r="D69" s="1">
        <v>262144</v>
      </c>
      <c r="E69" s="3">
        <v>220.11</v>
      </c>
      <c r="F69" s="5">
        <v>4543173.18</v>
      </c>
      <c r="G69" s="6">
        <v>2.3E-2</v>
      </c>
      <c r="H69" s="1">
        <v>0.66</v>
      </c>
      <c r="I69" s="1"/>
    </row>
    <row r="70" spans="1:9" x14ac:dyDescent="0.3">
      <c r="A70" s="1" t="s">
        <v>21</v>
      </c>
      <c r="B70" s="1" t="s">
        <v>18</v>
      </c>
      <c r="C70" s="1" t="s">
        <v>16</v>
      </c>
      <c r="D70" s="1">
        <v>262144</v>
      </c>
      <c r="E70" s="3">
        <v>38.49</v>
      </c>
      <c r="F70" s="5">
        <v>25978103.170000002</v>
      </c>
      <c r="G70" s="6">
        <v>2.8000000000000001E-2</v>
      </c>
      <c r="H70" s="1">
        <v>0.11</v>
      </c>
      <c r="I70" s="1"/>
    </row>
    <row r="71" spans="1:9" x14ac:dyDescent="0.3">
      <c r="A71" s="1" t="s">
        <v>21</v>
      </c>
      <c r="B71" s="1" t="s">
        <v>18</v>
      </c>
      <c r="C71" s="1" t="s">
        <v>17</v>
      </c>
      <c r="D71" s="1">
        <v>262144</v>
      </c>
      <c r="E71" s="3">
        <v>168.3</v>
      </c>
      <c r="F71" s="5">
        <v>5941781.7199999997</v>
      </c>
      <c r="G71" s="6">
        <v>3.5999999999999997E-2</v>
      </c>
      <c r="H71" s="1">
        <v>0.49</v>
      </c>
      <c r="I71" s="1"/>
    </row>
    <row r="72" spans="1:9" x14ac:dyDescent="0.3">
      <c r="A72" s="1" t="s">
        <v>21</v>
      </c>
      <c r="B72" s="1" t="s">
        <v>19</v>
      </c>
      <c r="C72" s="1" t="s">
        <v>16</v>
      </c>
      <c r="D72" s="1">
        <v>262144</v>
      </c>
      <c r="E72" s="3">
        <v>31.64</v>
      </c>
      <c r="F72" s="5">
        <v>31607819.190000001</v>
      </c>
      <c r="G72" s="6">
        <v>3.2000000000000001E-2</v>
      </c>
      <c r="H72" s="1">
        <v>0.09</v>
      </c>
      <c r="I72" s="1"/>
    </row>
    <row r="73" spans="1:9" x14ac:dyDescent="0.3">
      <c r="A73" s="1" t="s">
        <v>21</v>
      </c>
      <c r="B73" s="1" t="s">
        <v>19</v>
      </c>
      <c r="C73" s="1" t="s">
        <v>17</v>
      </c>
      <c r="D73" s="1">
        <v>262144</v>
      </c>
      <c r="E73" s="3">
        <v>212.97</v>
      </c>
      <c r="F73" s="5">
        <v>4695493.63</v>
      </c>
      <c r="G73" s="6">
        <v>0.01</v>
      </c>
      <c r="H73" s="1">
        <v>0.62</v>
      </c>
      <c r="I7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3"/>
  <sheetViews>
    <sheetView zoomScaleNormal="100" workbookViewId="0">
      <pane ySplit="1" topLeftCell="A47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8" customWidth="1"/>
    <col min="4" max="4" width="9" customWidth="1"/>
    <col min="5" max="5" width="10" customWidth="1"/>
    <col min="6" max="6" width="14" customWidth="1"/>
    <col min="7" max="7" width="8" customWidth="1"/>
    <col min="8" max="9" width="10" customWidth="1"/>
  </cols>
  <sheetData>
    <row r="1" spans="1:9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spans="1:9" x14ac:dyDescent="0.3">
      <c r="A2" s="1" t="s">
        <v>14</v>
      </c>
      <c r="B2" s="1" t="s">
        <v>15</v>
      </c>
      <c r="C2" s="1" t="s">
        <v>16</v>
      </c>
      <c r="D2" s="1">
        <v>4096</v>
      </c>
      <c r="E2" s="3">
        <v>46.4</v>
      </c>
      <c r="F2" s="5">
        <v>21551314.52</v>
      </c>
      <c r="G2" s="6">
        <v>7.0000000000000001E-3</v>
      </c>
      <c r="H2" s="1">
        <v>0.11</v>
      </c>
      <c r="I2" s="1"/>
    </row>
    <row r="3" spans="1:9" x14ac:dyDescent="0.3">
      <c r="A3" s="1" t="s">
        <v>14</v>
      </c>
      <c r="B3" s="1" t="s">
        <v>15</v>
      </c>
      <c r="C3" s="1" t="s">
        <v>17</v>
      </c>
      <c r="D3" s="1">
        <v>4096</v>
      </c>
      <c r="E3" s="3">
        <v>41.3</v>
      </c>
      <c r="F3" s="5">
        <v>24212889.699999999</v>
      </c>
      <c r="G3" s="6">
        <v>5.0000000000000001E-3</v>
      </c>
      <c r="H3" s="1">
        <v>0.1</v>
      </c>
      <c r="I3" s="1"/>
    </row>
    <row r="4" spans="1:9" x14ac:dyDescent="0.3">
      <c r="A4" s="1" t="s">
        <v>14</v>
      </c>
      <c r="B4" s="1" t="s">
        <v>18</v>
      </c>
      <c r="C4" s="1" t="s">
        <v>16</v>
      </c>
      <c r="D4" s="1">
        <v>4096</v>
      </c>
      <c r="E4" s="3">
        <v>14.41</v>
      </c>
      <c r="F4" s="5">
        <v>69385865.989999995</v>
      </c>
      <c r="G4" s="6">
        <v>0.01</v>
      </c>
      <c r="H4" s="1">
        <v>0.04</v>
      </c>
      <c r="I4" s="1"/>
    </row>
    <row r="5" spans="1:9" x14ac:dyDescent="0.3">
      <c r="A5" s="1" t="s">
        <v>14</v>
      </c>
      <c r="B5" s="1" t="s">
        <v>18</v>
      </c>
      <c r="C5" s="1" t="s">
        <v>17</v>
      </c>
      <c r="D5" s="1">
        <v>4096</v>
      </c>
      <c r="E5" s="3">
        <v>12.74</v>
      </c>
      <c r="F5" s="5">
        <v>78478218.099999994</v>
      </c>
      <c r="G5" s="6">
        <v>5.0000000000000001E-3</v>
      </c>
      <c r="H5" s="1">
        <v>0.03</v>
      </c>
      <c r="I5" s="1"/>
    </row>
    <row r="6" spans="1:9" x14ac:dyDescent="0.3">
      <c r="A6" s="1" t="s">
        <v>14</v>
      </c>
      <c r="B6" s="1" t="s">
        <v>19</v>
      </c>
      <c r="C6" s="1" t="s">
        <v>16</v>
      </c>
      <c r="D6" s="1">
        <v>4096</v>
      </c>
      <c r="E6" s="3">
        <v>9.9499999999999993</v>
      </c>
      <c r="F6" s="5">
        <v>100483885.22</v>
      </c>
      <c r="G6" s="6">
        <v>1.9E-2</v>
      </c>
      <c r="H6" s="1">
        <v>0.02</v>
      </c>
      <c r="I6" s="1"/>
    </row>
    <row r="7" spans="1:9" x14ac:dyDescent="0.3">
      <c r="A7" s="1" t="s">
        <v>14</v>
      </c>
      <c r="B7" s="1" t="s">
        <v>19</v>
      </c>
      <c r="C7" s="1" t="s">
        <v>17</v>
      </c>
      <c r="D7" s="1">
        <v>4096</v>
      </c>
      <c r="E7" s="3">
        <v>12.13</v>
      </c>
      <c r="F7" s="5">
        <v>82444424.819999993</v>
      </c>
      <c r="G7" s="6">
        <v>6.0000000000000001E-3</v>
      </c>
      <c r="H7" s="1">
        <v>0.03</v>
      </c>
      <c r="I7" s="1"/>
    </row>
    <row r="8" spans="1:9" x14ac:dyDescent="0.3">
      <c r="A8" s="1" t="s">
        <v>14</v>
      </c>
      <c r="B8" s="1" t="s">
        <v>15</v>
      </c>
      <c r="C8" s="1" t="s">
        <v>16</v>
      </c>
      <c r="D8" s="1">
        <v>16384</v>
      </c>
      <c r="E8" s="3">
        <v>65.81</v>
      </c>
      <c r="F8" s="5">
        <v>15194458.109999999</v>
      </c>
      <c r="G8" s="6">
        <v>5.0000000000000001E-3</v>
      </c>
      <c r="H8" s="1">
        <v>0.15</v>
      </c>
      <c r="I8" s="1"/>
    </row>
    <row r="9" spans="1:9" x14ac:dyDescent="0.3">
      <c r="A9" s="1" t="s">
        <v>14</v>
      </c>
      <c r="B9" s="1" t="s">
        <v>15</v>
      </c>
      <c r="C9" s="1" t="s">
        <v>17</v>
      </c>
      <c r="D9" s="1">
        <v>16384</v>
      </c>
      <c r="E9" s="3">
        <v>60.3</v>
      </c>
      <c r="F9" s="5">
        <v>16582950.43</v>
      </c>
      <c r="G9" s="6">
        <v>1.2E-2</v>
      </c>
      <c r="H9" s="1">
        <v>0.15</v>
      </c>
      <c r="I9" s="1"/>
    </row>
    <row r="10" spans="1:9" x14ac:dyDescent="0.3">
      <c r="A10" s="1" t="s">
        <v>14</v>
      </c>
      <c r="B10" s="1" t="s">
        <v>18</v>
      </c>
      <c r="C10" s="1" t="s">
        <v>16</v>
      </c>
      <c r="D10" s="1">
        <v>16384</v>
      </c>
      <c r="E10" s="3">
        <v>26.97</v>
      </c>
      <c r="F10" s="5">
        <v>37074713.68</v>
      </c>
      <c r="G10" s="6">
        <v>1E-3</v>
      </c>
      <c r="H10" s="1">
        <v>7.0000000000000007E-2</v>
      </c>
      <c r="I10" s="1"/>
    </row>
    <row r="11" spans="1:9" x14ac:dyDescent="0.3">
      <c r="A11" s="1" t="s">
        <v>14</v>
      </c>
      <c r="B11" s="1" t="s">
        <v>18</v>
      </c>
      <c r="C11" s="1" t="s">
        <v>17</v>
      </c>
      <c r="D11" s="1">
        <v>16384</v>
      </c>
      <c r="E11" s="3">
        <v>24.63</v>
      </c>
      <c r="F11" s="5">
        <v>40600853.850000001</v>
      </c>
      <c r="G11" s="6">
        <v>5.0000000000000001E-3</v>
      </c>
      <c r="H11" s="1">
        <v>0.06</v>
      </c>
      <c r="I11" s="1"/>
    </row>
    <row r="12" spans="1:9" x14ac:dyDescent="0.3">
      <c r="A12" s="1" t="s">
        <v>14</v>
      </c>
      <c r="B12" s="1" t="s">
        <v>19</v>
      </c>
      <c r="C12" s="1" t="s">
        <v>16</v>
      </c>
      <c r="D12" s="1">
        <v>16384</v>
      </c>
      <c r="E12" s="3">
        <v>18.53</v>
      </c>
      <c r="F12" s="5">
        <v>53976345.450000003</v>
      </c>
      <c r="G12" s="6">
        <v>4.0000000000000001E-3</v>
      </c>
      <c r="H12" s="1">
        <v>0.05</v>
      </c>
      <c r="I12" s="1"/>
    </row>
    <row r="13" spans="1:9" x14ac:dyDescent="0.3">
      <c r="A13" s="1" t="s">
        <v>14</v>
      </c>
      <c r="B13" s="1" t="s">
        <v>19</v>
      </c>
      <c r="C13" s="1" t="s">
        <v>17</v>
      </c>
      <c r="D13" s="1">
        <v>16384</v>
      </c>
      <c r="E13" s="3">
        <v>21.42</v>
      </c>
      <c r="F13" s="5">
        <v>46677624.439999998</v>
      </c>
      <c r="G13" s="6">
        <v>1.6E-2</v>
      </c>
      <c r="H13" s="1">
        <v>0.05</v>
      </c>
      <c r="I13" s="1"/>
    </row>
    <row r="14" spans="1:9" x14ac:dyDescent="0.3">
      <c r="A14" s="1" t="s">
        <v>14</v>
      </c>
      <c r="B14" s="1" t="s">
        <v>15</v>
      </c>
      <c r="C14" s="1" t="s">
        <v>16</v>
      </c>
      <c r="D14" s="1">
        <v>65536</v>
      </c>
      <c r="E14" s="3">
        <v>98.33</v>
      </c>
      <c r="F14" s="5">
        <v>10170158.42</v>
      </c>
      <c r="G14" s="6">
        <v>1.6E-2</v>
      </c>
      <c r="H14" s="1">
        <v>0.24</v>
      </c>
      <c r="I14" s="1"/>
    </row>
    <row r="15" spans="1:9" x14ac:dyDescent="0.3">
      <c r="A15" s="1" t="s">
        <v>14</v>
      </c>
      <c r="B15" s="1" t="s">
        <v>15</v>
      </c>
      <c r="C15" s="1" t="s">
        <v>17</v>
      </c>
      <c r="D15" s="1">
        <v>65536</v>
      </c>
      <c r="E15" s="3">
        <v>96.32</v>
      </c>
      <c r="F15" s="5">
        <v>10381915.470000001</v>
      </c>
      <c r="G15" s="6">
        <v>1.7000000000000001E-2</v>
      </c>
      <c r="H15" s="1">
        <v>0.23</v>
      </c>
      <c r="I15" s="1"/>
    </row>
    <row r="16" spans="1:9" x14ac:dyDescent="0.3">
      <c r="A16" s="1" t="s">
        <v>14</v>
      </c>
      <c r="B16" s="1" t="s">
        <v>18</v>
      </c>
      <c r="C16" s="1" t="s">
        <v>16</v>
      </c>
      <c r="D16" s="1">
        <v>65536</v>
      </c>
      <c r="E16" s="3">
        <v>40.43</v>
      </c>
      <c r="F16" s="5">
        <v>24735916.989999998</v>
      </c>
      <c r="G16" s="6">
        <v>4.0000000000000001E-3</v>
      </c>
      <c r="H16" s="1">
        <v>0.1</v>
      </c>
      <c r="I16" s="1"/>
    </row>
    <row r="17" spans="1:9" x14ac:dyDescent="0.3">
      <c r="A17" s="1" t="s">
        <v>14</v>
      </c>
      <c r="B17" s="1" t="s">
        <v>18</v>
      </c>
      <c r="C17" s="1" t="s">
        <v>17</v>
      </c>
      <c r="D17" s="1">
        <v>65536</v>
      </c>
      <c r="E17" s="3">
        <v>36.76</v>
      </c>
      <c r="F17" s="5">
        <v>27205579.449999999</v>
      </c>
      <c r="G17" s="6">
        <v>0.02</v>
      </c>
      <c r="H17" s="1">
        <v>0.09</v>
      </c>
      <c r="I17" s="1"/>
    </row>
    <row r="18" spans="1:9" x14ac:dyDescent="0.3">
      <c r="A18" s="1" t="s">
        <v>14</v>
      </c>
      <c r="B18" s="1" t="s">
        <v>19</v>
      </c>
      <c r="C18" s="1" t="s">
        <v>16</v>
      </c>
      <c r="D18" s="1">
        <v>65536</v>
      </c>
      <c r="E18" s="3">
        <v>26.93</v>
      </c>
      <c r="F18" s="5">
        <v>37135392.109999999</v>
      </c>
      <c r="G18" s="6">
        <v>4.0000000000000001E-3</v>
      </c>
      <c r="H18" s="1">
        <v>7.0000000000000007E-2</v>
      </c>
      <c r="I18" s="1"/>
    </row>
    <row r="19" spans="1:9" x14ac:dyDescent="0.3">
      <c r="A19" s="1" t="s">
        <v>14</v>
      </c>
      <c r="B19" s="1" t="s">
        <v>19</v>
      </c>
      <c r="C19" s="1" t="s">
        <v>17</v>
      </c>
      <c r="D19" s="1">
        <v>65536</v>
      </c>
      <c r="E19" s="3">
        <v>30.22</v>
      </c>
      <c r="F19" s="5">
        <v>33090964.91</v>
      </c>
      <c r="G19" s="6">
        <v>5.0000000000000001E-3</v>
      </c>
      <c r="H19" s="1">
        <v>7.0000000000000007E-2</v>
      </c>
      <c r="I19" s="1"/>
    </row>
    <row r="20" spans="1:9" x14ac:dyDescent="0.3">
      <c r="A20" s="1" t="s">
        <v>14</v>
      </c>
      <c r="B20" s="1" t="s">
        <v>15</v>
      </c>
      <c r="C20" s="1" t="s">
        <v>16</v>
      </c>
      <c r="D20" s="1">
        <v>262144</v>
      </c>
      <c r="E20" s="3">
        <v>179.22</v>
      </c>
      <c r="F20" s="5">
        <v>5579676.9800000004</v>
      </c>
      <c r="G20" s="6">
        <v>8.0000000000000002E-3</v>
      </c>
      <c r="H20" s="1">
        <v>0.44</v>
      </c>
      <c r="I20" s="1"/>
    </row>
    <row r="21" spans="1:9" x14ac:dyDescent="0.3">
      <c r="A21" s="1" t="s">
        <v>14</v>
      </c>
      <c r="B21" s="1" t="s">
        <v>15</v>
      </c>
      <c r="C21" s="1" t="s">
        <v>17</v>
      </c>
      <c r="D21" s="1">
        <v>262144</v>
      </c>
      <c r="E21" s="3">
        <v>176</v>
      </c>
      <c r="F21" s="5">
        <v>5681960.8399999999</v>
      </c>
      <c r="G21" s="6">
        <v>2.4E-2</v>
      </c>
      <c r="H21" s="1">
        <v>0.42</v>
      </c>
      <c r="I21" s="1"/>
    </row>
    <row r="22" spans="1:9" x14ac:dyDescent="0.3">
      <c r="A22" s="1" t="s">
        <v>14</v>
      </c>
      <c r="B22" s="1" t="s">
        <v>18</v>
      </c>
      <c r="C22" s="1" t="s">
        <v>16</v>
      </c>
      <c r="D22" s="1">
        <v>262144</v>
      </c>
      <c r="E22" s="3">
        <v>80.3</v>
      </c>
      <c r="F22" s="5">
        <v>12453379.92</v>
      </c>
      <c r="G22" s="6">
        <v>6.0000000000000001E-3</v>
      </c>
      <c r="H22" s="1">
        <v>0.2</v>
      </c>
      <c r="I22" s="1"/>
    </row>
    <row r="23" spans="1:9" x14ac:dyDescent="0.3">
      <c r="A23" s="1" t="s">
        <v>14</v>
      </c>
      <c r="B23" s="1" t="s">
        <v>18</v>
      </c>
      <c r="C23" s="1" t="s">
        <v>17</v>
      </c>
      <c r="D23" s="1">
        <v>262144</v>
      </c>
      <c r="E23" s="3">
        <v>74.28</v>
      </c>
      <c r="F23" s="5">
        <v>13463278.710000001</v>
      </c>
      <c r="G23" s="6">
        <v>6.0000000000000001E-3</v>
      </c>
      <c r="H23" s="1">
        <v>0.16</v>
      </c>
      <c r="I23" s="1"/>
    </row>
    <row r="24" spans="1:9" x14ac:dyDescent="0.3">
      <c r="A24" s="1" t="s">
        <v>14</v>
      </c>
      <c r="B24" s="1" t="s">
        <v>19</v>
      </c>
      <c r="C24" s="1" t="s">
        <v>16</v>
      </c>
      <c r="D24" s="1">
        <v>262144</v>
      </c>
      <c r="E24" s="3">
        <v>49.42</v>
      </c>
      <c r="F24" s="5">
        <v>20235456</v>
      </c>
      <c r="G24" s="6">
        <v>2.3E-2</v>
      </c>
      <c r="H24" s="1">
        <v>0.12</v>
      </c>
      <c r="I24" s="1"/>
    </row>
    <row r="25" spans="1:9" x14ac:dyDescent="0.3">
      <c r="A25" s="1" t="s">
        <v>14</v>
      </c>
      <c r="B25" s="1" t="s">
        <v>19</v>
      </c>
      <c r="C25" s="1" t="s">
        <v>17</v>
      </c>
      <c r="D25" s="1">
        <v>262144</v>
      </c>
      <c r="E25" s="3">
        <v>51.43</v>
      </c>
      <c r="F25" s="5">
        <v>19443431.809999999</v>
      </c>
      <c r="G25" s="6">
        <v>2.5999999999999999E-2</v>
      </c>
      <c r="H25" s="1">
        <v>0.12</v>
      </c>
      <c r="I25" s="1"/>
    </row>
    <row r="26" spans="1:9" x14ac:dyDescent="0.3">
      <c r="A26" s="1" t="s">
        <v>20</v>
      </c>
      <c r="B26" s="1" t="s">
        <v>15</v>
      </c>
      <c r="C26" s="1" t="s">
        <v>16</v>
      </c>
      <c r="D26" s="1">
        <v>4096</v>
      </c>
      <c r="E26" s="3">
        <v>19.600000000000001</v>
      </c>
      <c r="F26" s="5">
        <v>51025238.560000002</v>
      </c>
      <c r="G26" s="6">
        <v>1.7000000000000001E-2</v>
      </c>
      <c r="H26" s="1">
        <v>0</v>
      </c>
      <c r="I26" s="1"/>
    </row>
    <row r="27" spans="1:9" x14ac:dyDescent="0.3">
      <c r="A27" s="1" t="s">
        <v>20</v>
      </c>
      <c r="B27" s="1" t="s">
        <v>15</v>
      </c>
      <c r="C27" s="1" t="s">
        <v>17</v>
      </c>
      <c r="D27" s="1">
        <v>4096</v>
      </c>
      <c r="E27" s="3">
        <v>55.2</v>
      </c>
      <c r="F27" s="5">
        <v>18116599.07</v>
      </c>
      <c r="G27" s="6">
        <v>2.4E-2</v>
      </c>
      <c r="H27" s="1">
        <v>0</v>
      </c>
      <c r="I27" s="1"/>
    </row>
    <row r="28" spans="1:9" x14ac:dyDescent="0.3">
      <c r="A28" s="1" t="s">
        <v>20</v>
      </c>
      <c r="B28" s="1" t="s">
        <v>18</v>
      </c>
      <c r="C28" s="1" t="s">
        <v>16</v>
      </c>
      <c r="D28" s="1">
        <v>4096</v>
      </c>
      <c r="E28" s="3">
        <v>22.82</v>
      </c>
      <c r="F28" s="5">
        <v>43821547.020000003</v>
      </c>
      <c r="G28" s="6">
        <v>2.8000000000000001E-2</v>
      </c>
      <c r="H28" s="1">
        <v>0</v>
      </c>
      <c r="I28" s="1"/>
    </row>
    <row r="29" spans="1:9" x14ac:dyDescent="0.3">
      <c r="A29" s="1" t="s">
        <v>20</v>
      </c>
      <c r="B29" s="1" t="s">
        <v>18</v>
      </c>
      <c r="C29" s="1" t="s">
        <v>17</v>
      </c>
      <c r="D29" s="1">
        <v>4096</v>
      </c>
      <c r="E29" s="3">
        <v>36.94</v>
      </c>
      <c r="F29" s="5">
        <v>27070074.219999999</v>
      </c>
      <c r="G29" s="6">
        <v>1.2999999999999999E-2</v>
      </c>
      <c r="H29" s="1">
        <v>0</v>
      </c>
      <c r="I29" s="1"/>
    </row>
    <row r="30" spans="1:9" x14ac:dyDescent="0.3">
      <c r="A30" s="1" t="s">
        <v>20</v>
      </c>
      <c r="B30" s="1" t="s">
        <v>19</v>
      </c>
      <c r="C30" s="1" t="s">
        <v>16</v>
      </c>
      <c r="D30" s="1">
        <v>4096</v>
      </c>
      <c r="E30" s="3">
        <v>25.21</v>
      </c>
      <c r="F30" s="5">
        <v>39665323.829999998</v>
      </c>
      <c r="G30" s="6">
        <v>0.03</v>
      </c>
      <c r="H30" s="1">
        <v>0</v>
      </c>
      <c r="I30" s="1"/>
    </row>
    <row r="31" spans="1:9" x14ac:dyDescent="0.3">
      <c r="A31" s="1" t="s">
        <v>20</v>
      </c>
      <c r="B31" s="1" t="s">
        <v>19</v>
      </c>
      <c r="C31" s="1" t="s">
        <v>17</v>
      </c>
      <c r="D31" s="1">
        <v>4096</v>
      </c>
      <c r="E31" s="3">
        <v>59.83</v>
      </c>
      <c r="F31" s="5">
        <v>16713319.24</v>
      </c>
      <c r="G31" s="6">
        <v>1.4E-2</v>
      </c>
      <c r="H31" s="1">
        <v>0</v>
      </c>
      <c r="I31" s="1"/>
    </row>
    <row r="32" spans="1:9" x14ac:dyDescent="0.3">
      <c r="A32" s="1" t="s">
        <v>20</v>
      </c>
      <c r="B32" s="1" t="s">
        <v>15</v>
      </c>
      <c r="C32" s="1" t="s">
        <v>16</v>
      </c>
      <c r="D32" s="1">
        <v>16384</v>
      </c>
      <c r="E32" s="3">
        <v>23.32</v>
      </c>
      <c r="F32" s="5">
        <v>42876583.270000003</v>
      </c>
      <c r="G32" s="6">
        <v>6.0999999999999999E-2</v>
      </c>
      <c r="H32" s="1">
        <v>0</v>
      </c>
      <c r="I32" s="1" t="s">
        <v>39</v>
      </c>
    </row>
    <row r="33" spans="1:9" x14ac:dyDescent="0.3">
      <c r="A33" s="1" t="s">
        <v>20</v>
      </c>
      <c r="B33" s="1" t="s">
        <v>15</v>
      </c>
      <c r="C33" s="1" t="s">
        <v>17</v>
      </c>
      <c r="D33" s="1">
        <v>16384</v>
      </c>
      <c r="E33" s="3">
        <v>69.12</v>
      </c>
      <c r="F33" s="5">
        <v>14467005.970000001</v>
      </c>
      <c r="G33" s="6">
        <v>6.0000000000000001E-3</v>
      </c>
      <c r="H33" s="1">
        <v>0.01</v>
      </c>
      <c r="I33" s="1"/>
    </row>
    <row r="34" spans="1:9" x14ac:dyDescent="0.3">
      <c r="A34" s="1" t="s">
        <v>20</v>
      </c>
      <c r="B34" s="1" t="s">
        <v>18</v>
      </c>
      <c r="C34" s="1" t="s">
        <v>16</v>
      </c>
      <c r="D34" s="1">
        <v>16384</v>
      </c>
      <c r="E34" s="3">
        <v>27.96</v>
      </c>
      <c r="F34" s="5">
        <v>35767849.539999999</v>
      </c>
      <c r="G34" s="6">
        <v>2.1000000000000001E-2</v>
      </c>
      <c r="H34" s="1">
        <v>0.01</v>
      </c>
      <c r="I34" s="1"/>
    </row>
    <row r="35" spans="1:9" x14ac:dyDescent="0.3">
      <c r="A35" s="1" t="s">
        <v>20</v>
      </c>
      <c r="B35" s="1" t="s">
        <v>18</v>
      </c>
      <c r="C35" s="1" t="s">
        <v>17</v>
      </c>
      <c r="D35" s="1">
        <v>16384</v>
      </c>
      <c r="E35" s="3">
        <v>58.45</v>
      </c>
      <c r="F35" s="5">
        <v>17109136.530000001</v>
      </c>
      <c r="G35" s="6">
        <v>3.7999999999999999E-2</v>
      </c>
      <c r="H35" s="1">
        <v>0.01</v>
      </c>
      <c r="I35" s="1"/>
    </row>
    <row r="36" spans="1:9" x14ac:dyDescent="0.3">
      <c r="A36" s="1" t="s">
        <v>20</v>
      </c>
      <c r="B36" s="1" t="s">
        <v>19</v>
      </c>
      <c r="C36" s="1" t="s">
        <v>16</v>
      </c>
      <c r="D36" s="1">
        <v>16384</v>
      </c>
      <c r="E36" s="3">
        <v>27.1</v>
      </c>
      <c r="F36" s="5">
        <v>36906303.850000001</v>
      </c>
      <c r="G36" s="6">
        <v>3.9E-2</v>
      </c>
      <c r="H36" s="1">
        <v>0</v>
      </c>
      <c r="I36" s="1"/>
    </row>
    <row r="37" spans="1:9" x14ac:dyDescent="0.3">
      <c r="A37" s="1" t="s">
        <v>20</v>
      </c>
      <c r="B37" s="1" t="s">
        <v>19</v>
      </c>
      <c r="C37" s="1" t="s">
        <v>17</v>
      </c>
      <c r="D37" s="1">
        <v>16384</v>
      </c>
      <c r="E37" s="3">
        <v>81.69</v>
      </c>
      <c r="F37" s="5">
        <v>12240933.609999999</v>
      </c>
      <c r="G37" s="6">
        <v>1.0999999999999999E-2</v>
      </c>
      <c r="H37" s="1">
        <v>0.01</v>
      </c>
      <c r="I37" s="1"/>
    </row>
    <row r="38" spans="1:9" x14ac:dyDescent="0.3">
      <c r="A38" s="1" t="s">
        <v>20</v>
      </c>
      <c r="B38" s="1" t="s">
        <v>15</v>
      </c>
      <c r="C38" s="1" t="s">
        <v>16</v>
      </c>
      <c r="D38" s="1">
        <v>65536</v>
      </c>
      <c r="E38" s="3">
        <v>57.69</v>
      </c>
      <c r="F38" s="5">
        <v>17334498.210000001</v>
      </c>
      <c r="G38" s="6">
        <v>7.4999999999999997E-2</v>
      </c>
      <c r="H38" s="1">
        <v>0.03</v>
      </c>
      <c r="I38" s="1" t="s">
        <v>39</v>
      </c>
    </row>
    <row r="39" spans="1:9" x14ac:dyDescent="0.3">
      <c r="A39" s="1" t="s">
        <v>20</v>
      </c>
      <c r="B39" s="1" t="s">
        <v>15</v>
      </c>
      <c r="C39" s="1" t="s">
        <v>17</v>
      </c>
      <c r="D39" s="1">
        <v>65536</v>
      </c>
      <c r="E39" s="3">
        <v>95.5</v>
      </c>
      <c r="F39" s="5">
        <v>10471311.27</v>
      </c>
      <c r="G39" s="6">
        <v>8.0000000000000002E-3</v>
      </c>
      <c r="H39" s="1">
        <v>7.0000000000000007E-2</v>
      </c>
      <c r="I39" s="1"/>
    </row>
    <row r="40" spans="1:9" x14ac:dyDescent="0.3">
      <c r="A40" s="1" t="s">
        <v>20</v>
      </c>
      <c r="B40" s="1" t="s">
        <v>18</v>
      </c>
      <c r="C40" s="1" t="s">
        <v>16</v>
      </c>
      <c r="D40" s="1">
        <v>65536</v>
      </c>
      <c r="E40" s="3">
        <v>55.75</v>
      </c>
      <c r="F40" s="5">
        <v>17937337.559999999</v>
      </c>
      <c r="G40" s="6">
        <v>0.219</v>
      </c>
      <c r="H40" s="1">
        <v>0.05</v>
      </c>
      <c r="I40" s="1" t="s">
        <v>39</v>
      </c>
    </row>
    <row r="41" spans="1:9" x14ac:dyDescent="0.3">
      <c r="A41" s="1" t="s">
        <v>20</v>
      </c>
      <c r="B41" s="1" t="s">
        <v>18</v>
      </c>
      <c r="C41" s="1" t="s">
        <v>17</v>
      </c>
      <c r="D41" s="1">
        <v>65536</v>
      </c>
      <c r="E41" s="3">
        <v>116.9</v>
      </c>
      <c r="F41" s="5">
        <v>8554645.3200000003</v>
      </c>
      <c r="G41" s="6">
        <v>4.1000000000000002E-2</v>
      </c>
      <c r="H41" s="1">
        <v>0.09</v>
      </c>
      <c r="I41" s="1"/>
    </row>
    <row r="42" spans="1:9" x14ac:dyDescent="0.3">
      <c r="A42" s="1" t="s">
        <v>20</v>
      </c>
      <c r="B42" s="1" t="s">
        <v>19</v>
      </c>
      <c r="C42" s="1" t="s">
        <v>16</v>
      </c>
      <c r="D42" s="1">
        <v>65536</v>
      </c>
      <c r="E42" s="3">
        <v>32.630000000000003</v>
      </c>
      <c r="F42" s="5">
        <v>30649477.469999999</v>
      </c>
      <c r="G42" s="6">
        <v>0.06</v>
      </c>
      <c r="H42" s="1">
        <v>0.04</v>
      </c>
      <c r="I42" s="1" t="s">
        <v>39</v>
      </c>
    </row>
    <row r="43" spans="1:9" x14ac:dyDescent="0.3">
      <c r="A43" s="1" t="s">
        <v>20</v>
      </c>
      <c r="B43" s="1" t="s">
        <v>19</v>
      </c>
      <c r="C43" s="1" t="s">
        <v>17</v>
      </c>
      <c r="D43" s="1">
        <v>65536</v>
      </c>
      <c r="E43" s="3">
        <v>119.59</v>
      </c>
      <c r="F43" s="5">
        <v>8361729.5199999996</v>
      </c>
      <c r="G43" s="6">
        <v>1.9E-2</v>
      </c>
      <c r="H43" s="1">
        <v>0.09</v>
      </c>
      <c r="I43" s="1"/>
    </row>
    <row r="44" spans="1:9" x14ac:dyDescent="0.3">
      <c r="A44" s="1" t="s">
        <v>20</v>
      </c>
      <c r="B44" s="1" t="s">
        <v>15</v>
      </c>
      <c r="C44" s="1" t="s">
        <v>16</v>
      </c>
      <c r="D44" s="1">
        <v>262144</v>
      </c>
      <c r="E44" s="3">
        <v>74.08</v>
      </c>
      <c r="F44" s="5">
        <v>13499252.029999999</v>
      </c>
      <c r="G44" s="6">
        <v>0.121</v>
      </c>
      <c r="H44" s="1">
        <v>0.21</v>
      </c>
      <c r="I44" s="1" t="s">
        <v>39</v>
      </c>
    </row>
    <row r="45" spans="1:9" x14ac:dyDescent="0.3">
      <c r="A45" s="1" t="s">
        <v>20</v>
      </c>
      <c r="B45" s="1" t="s">
        <v>15</v>
      </c>
      <c r="C45" s="1" t="s">
        <v>17</v>
      </c>
      <c r="D45" s="1">
        <v>262144</v>
      </c>
      <c r="E45" s="3">
        <v>149.69999999999999</v>
      </c>
      <c r="F45" s="5">
        <v>6680124.2199999997</v>
      </c>
      <c r="G45" s="6">
        <v>1.9E-2</v>
      </c>
      <c r="H45" s="1">
        <v>0.44</v>
      </c>
      <c r="I45" s="1"/>
    </row>
    <row r="46" spans="1:9" x14ac:dyDescent="0.3">
      <c r="A46" s="1" t="s">
        <v>20</v>
      </c>
      <c r="B46" s="1" t="s">
        <v>18</v>
      </c>
      <c r="C46" s="1" t="s">
        <v>16</v>
      </c>
      <c r="D46" s="1">
        <v>262144</v>
      </c>
      <c r="E46" s="3">
        <v>83.27</v>
      </c>
      <c r="F46" s="5">
        <v>12009734.27</v>
      </c>
      <c r="G46" s="6">
        <v>4.2000000000000003E-2</v>
      </c>
      <c r="H46" s="1">
        <v>0.24</v>
      </c>
      <c r="I46" s="1"/>
    </row>
    <row r="47" spans="1:9" x14ac:dyDescent="0.3">
      <c r="A47" s="1" t="s">
        <v>20</v>
      </c>
      <c r="B47" s="1" t="s">
        <v>18</v>
      </c>
      <c r="C47" s="1" t="s">
        <v>17</v>
      </c>
      <c r="D47" s="1">
        <v>262144</v>
      </c>
      <c r="E47" s="3">
        <v>202.29</v>
      </c>
      <c r="F47" s="5">
        <v>4943452.2300000004</v>
      </c>
      <c r="G47" s="6">
        <v>8.8999999999999996E-2</v>
      </c>
      <c r="H47" s="1">
        <v>0.6</v>
      </c>
      <c r="I47" s="1" t="s">
        <v>39</v>
      </c>
    </row>
    <row r="48" spans="1:9" x14ac:dyDescent="0.3">
      <c r="A48" s="1" t="s">
        <v>20</v>
      </c>
      <c r="B48" s="1" t="s">
        <v>19</v>
      </c>
      <c r="C48" s="1" t="s">
        <v>16</v>
      </c>
      <c r="D48" s="1">
        <v>262144</v>
      </c>
      <c r="E48" s="3">
        <v>43.7</v>
      </c>
      <c r="F48" s="5">
        <v>22880756.190000001</v>
      </c>
      <c r="G48" s="6">
        <v>3.5000000000000003E-2</v>
      </c>
      <c r="H48" s="1">
        <v>0.22</v>
      </c>
      <c r="I48" s="1"/>
    </row>
    <row r="49" spans="1:9" x14ac:dyDescent="0.3">
      <c r="A49" s="1" t="s">
        <v>20</v>
      </c>
      <c r="B49" s="1" t="s">
        <v>19</v>
      </c>
      <c r="C49" s="1" t="s">
        <v>17</v>
      </c>
      <c r="D49" s="1">
        <v>262144</v>
      </c>
      <c r="E49" s="3">
        <v>185.63</v>
      </c>
      <c r="F49" s="5">
        <v>5386964.1600000001</v>
      </c>
      <c r="G49" s="6">
        <v>1.2999999999999999E-2</v>
      </c>
      <c r="H49" s="1">
        <v>0.54</v>
      </c>
      <c r="I49" s="1"/>
    </row>
    <row r="50" spans="1:9" x14ac:dyDescent="0.3">
      <c r="A50" s="1" t="s">
        <v>21</v>
      </c>
      <c r="B50" s="1" t="s">
        <v>15</v>
      </c>
      <c r="C50" s="1" t="s">
        <v>16</v>
      </c>
      <c r="D50" s="1">
        <v>4096</v>
      </c>
      <c r="E50" s="3">
        <v>17.12</v>
      </c>
      <c r="F50" s="5">
        <v>58400821.259999998</v>
      </c>
      <c r="G50" s="6">
        <v>2.8000000000000001E-2</v>
      </c>
      <c r="H50" s="1">
        <v>0</v>
      </c>
      <c r="I50" s="1"/>
    </row>
    <row r="51" spans="1:9" x14ac:dyDescent="0.3">
      <c r="A51" s="1" t="s">
        <v>21</v>
      </c>
      <c r="B51" s="1" t="s">
        <v>15</v>
      </c>
      <c r="C51" s="1" t="s">
        <v>17</v>
      </c>
      <c r="D51" s="1">
        <v>4096</v>
      </c>
      <c r="E51" s="3">
        <v>58.95</v>
      </c>
      <c r="F51" s="5">
        <v>16964877.399999999</v>
      </c>
      <c r="G51" s="6">
        <v>1.7000000000000001E-2</v>
      </c>
      <c r="H51" s="1">
        <v>0</v>
      </c>
      <c r="I51" s="1"/>
    </row>
    <row r="52" spans="1:9" x14ac:dyDescent="0.3">
      <c r="A52" s="1" t="s">
        <v>21</v>
      </c>
      <c r="B52" s="1" t="s">
        <v>18</v>
      </c>
      <c r="C52" s="1" t="s">
        <v>16</v>
      </c>
      <c r="D52" s="1">
        <v>4096</v>
      </c>
      <c r="E52" s="3">
        <v>14.48</v>
      </c>
      <c r="F52" s="5">
        <v>69045732.680000007</v>
      </c>
      <c r="G52" s="6">
        <v>3.5000000000000003E-2</v>
      </c>
      <c r="H52" s="1">
        <v>0</v>
      </c>
      <c r="I52" s="1"/>
    </row>
    <row r="53" spans="1:9" x14ac:dyDescent="0.3">
      <c r="A53" s="1" t="s">
        <v>21</v>
      </c>
      <c r="B53" s="1" t="s">
        <v>18</v>
      </c>
      <c r="C53" s="1" t="s">
        <v>17</v>
      </c>
      <c r="D53" s="1">
        <v>4096</v>
      </c>
      <c r="E53" s="3">
        <v>39.44</v>
      </c>
      <c r="F53" s="5">
        <v>25353751.690000001</v>
      </c>
      <c r="G53" s="6">
        <v>5.3999999999999999E-2</v>
      </c>
      <c r="H53" s="1">
        <v>0</v>
      </c>
      <c r="I53" s="1" t="s">
        <v>39</v>
      </c>
    </row>
    <row r="54" spans="1:9" x14ac:dyDescent="0.3">
      <c r="A54" s="1" t="s">
        <v>21</v>
      </c>
      <c r="B54" s="1" t="s">
        <v>19</v>
      </c>
      <c r="C54" s="1" t="s">
        <v>16</v>
      </c>
      <c r="D54" s="1">
        <v>4096</v>
      </c>
      <c r="E54" s="3">
        <v>18.690000000000001</v>
      </c>
      <c r="F54" s="5">
        <v>53512404.789999999</v>
      </c>
      <c r="G54" s="6">
        <v>7.1999999999999995E-2</v>
      </c>
      <c r="H54" s="1">
        <v>0</v>
      </c>
      <c r="I54" s="1" t="s">
        <v>39</v>
      </c>
    </row>
    <row r="55" spans="1:9" x14ac:dyDescent="0.3">
      <c r="A55" s="1" t="s">
        <v>21</v>
      </c>
      <c r="B55" s="1" t="s">
        <v>19</v>
      </c>
      <c r="C55" s="1" t="s">
        <v>17</v>
      </c>
      <c r="D55" s="1">
        <v>4096</v>
      </c>
      <c r="E55" s="3">
        <v>62.72</v>
      </c>
      <c r="F55" s="5">
        <v>15942830.01</v>
      </c>
      <c r="G55" s="6">
        <v>1.4999999999999999E-2</v>
      </c>
      <c r="H55" s="1">
        <v>0</v>
      </c>
      <c r="I55" s="1"/>
    </row>
    <row r="56" spans="1:9" x14ac:dyDescent="0.3">
      <c r="A56" s="1" t="s">
        <v>21</v>
      </c>
      <c r="B56" s="1" t="s">
        <v>15</v>
      </c>
      <c r="C56" s="1" t="s">
        <v>16</v>
      </c>
      <c r="D56" s="1">
        <v>16384</v>
      </c>
      <c r="E56" s="3">
        <v>18.809999999999999</v>
      </c>
      <c r="F56" s="5">
        <v>53158215.770000003</v>
      </c>
      <c r="G56" s="6">
        <v>6.9000000000000006E-2</v>
      </c>
      <c r="H56" s="1">
        <v>0</v>
      </c>
      <c r="I56" s="1" t="s">
        <v>39</v>
      </c>
    </row>
    <row r="57" spans="1:9" x14ac:dyDescent="0.3">
      <c r="A57" s="1" t="s">
        <v>21</v>
      </c>
      <c r="B57" s="1" t="s">
        <v>15</v>
      </c>
      <c r="C57" s="1" t="s">
        <v>17</v>
      </c>
      <c r="D57" s="1">
        <v>16384</v>
      </c>
      <c r="E57" s="3">
        <v>80.64</v>
      </c>
      <c r="F57" s="5">
        <v>12401138.689999999</v>
      </c>
      <c r="G57" s="6">
        <v>8.9999999999999993E-3</v>
      </c>
      <c r="H57" s="1">
        <v>0.01</v>
      </c>
      <c r="I57" s="1"/>
    </row>
    <row r="58" spans="1:9" x14ac:dyDescent="0.3">
      <c r="A58" s="1" t="s">
        <v>21</v>
      </c>
      <c r="B58" s="1" t="s">
        <v>18</v>
      </c>
      <c r="C58" s="1" t="s">
        <v>16</v>
      </c>
      <c r="D58" s="1">
        <v>16384</v>
      </c>
      <c r="E58" s="3">
        <v>16.46</v>
      </c>
      <c r="F58" s="5">
        <v>60746953.200000003</v>
      </c>
      <c r="G58" s="6">
        <v>4.4999999999999998E-2</v>
      </c>
      <c r="H58" s="1">
        <v>0</v>
      </c>
      <c r="I58" s="1"/>
    </row>
    <row r="59" spans="1:9" x14ac:dyDescent="0.3">
      <c r="A59" s="1" t="s">
        <v>21</v>
      </c>
      <c r="B59" s="1" t="s">
        <v>18</v>
      </c>
      <c r="C59" s="1" t="s">
        <v>17</v>
      </c>
      <c r="D59" s="1">
        <v>16384</v>
      </c>
      <c r="E59" s="3">
        <v>54.69</v>
      </c>
      <c r="F59" s="5">
        <v>18285693.879999999</v>
      </c>
      <c r="G59" s="6">
        <v>1.4E-2</v>
      </c>
      <c r="H59" s="1">
        <v>0.01</v>
      </c>
      <c r="I59" s="1"/>
    </row>
    <row r="60" spans="1:9" x14ac:dyDescent="0.3">
      <c r="A60" s="1" t="s">
        <v>21</v>
      </c>
      <c r="B60" s="1" t="s">
        <v>19</v>
      </c>
      <c r="C60" s="1" t="s">
        <v>16</v>
      </c>
      <c r="D60" s="1">
        <v>16384</v>
      </c>
      <c r="E60" s="3">
        <v>23.93</v>
      </c>
      <c r="F60" s="5">
        <v>41787710.07</v>
      </c>
      <c r="G60" s="6">
        <v>7.8E-2</v>
      </c>
      <c r="H60" s="1">
        <v>0</v>
      </c>
      <c r="I60" s="1" t="s">
        <v>39</v>
      </c>
    </row>
    <row r="61" spans="1:9" x14ac:dyDescent="0.3">
      <c r="A61" s="1" t="s">
        <v>21</v>
      </c>
      <c r="B61" s="1" t="s">
        <v>19</v>
      </c>
      <c r="C61" s="1" t="s">
        <v>17</v>
      </c>
      <c r="D61" s="1">
        <v>16384</v>
      </c>
      <c r="E61" s="3">
        <v>79.92</v>
      </c>
      <c r="F61" s="5">
        <v>12512629.859999999</v>
      </c>
      <c r="G61" s="6">
        <v>1.7999999999999999E-2</v>
      </c>
      <c r="H61" s="1">
        <v>0.01</v>
      </c>
      <c r="I61" s="1"/>
    </row>
    <row r="62" spans="1:9" x14ac:dyDescent="0.3">
      <c r="A62" s="1" t="s">
        <v>21</v>
      </c>
      <c r="B62" s="1" t="s">
        <v>15</v>
      </c>
      <c r="C62" s="1" t="s">
        <v>16</v>
      </c>
      <c r="D62" s="1">
        <v>65536</v>
      </c>
      <c r="E62" s="3">
        <v>19.829999999999998</v>
      </c>
      <c r="F62" s="5">
        <v>50422974.090000004</v>
      </c>
      <c r="G62" s="6">
        <v>4.4999999999999998E-2</v>
      </c>
      <c r="H62" s="1">
        <v>0.01</v>
      </c>
      <c r="I62" s="1"/>
    </row>
    <row r="63" spans="1:9" x14ac:dyDescent="0.3">
      <c r="A63" s="1" t="s">
        <v>21</v>
      </c>
      <c r="B63" s="1" t="s">
        <v>15</v>
      </c>
      <c r="C63" s="1" t="s">
        <v>17</v>
      </c>
      <c r="D63" s="1">
        <v>65536</v>
      </c>
      <c r="E63" s="3">
        <v>120.46</v>
      </c>
      <c r="F63" s="5">
        <v>8301241.2199999997</v>
      </c>
      <c r="G63" s="6">
        <v>1.4999999999999999E-2</v>
      </c>
      <c r="H63" s="1">
        <v>0.09</v>
      </c>
      <c r="I63" s="1"/>
    </row>
    <row r="64" spans="1:9" x14ac:dyDescent="0.3">
      <c r="A64" s="1" t="s">
        <v>21</v>
      </c>
      <c r="B64" s="1" t="s">
        <v>18</v>
      </c>
      <c r="C64" s="1" t="s">
        <v>16</v>
      </c>
      <c r="D64" s="1">
        <v>65536</v>
      </c>
      <c r="E64" s="3">
        <v>33.11</v>
      </c>
      <c r="F64" s="5">
        <v>30199599.559999999</v>
      </c>
      <c r="G64" s="6">
        <v>8.5999999999999993E-2</v>
      </c>
      <c r="H64" s="1">
        <v>0.02</v>
      </c>
      <c r="I64" s="1" t="s">
        <v>39</v>
      </c>
    </row>
    <row r="65" spans="1:9" x14ac:dyDescent="0.3">
      <c r="A65" s="1" t="s">
        <v>21</v>
      </c>
      <c r="B65" s="1" t="s">
        <v>18</v>
      </c>
      <c r="C65" s="1" t="s">
        <v>17</v>
      </c>
      <c r="D65" s="1">
        <v>65536</v>
      </c>
      <c r="E65" s="3">
        <v>95.91</v>
      </c>
      <c r="F65" s="5">
        <v>10426859.09</v>
      </c>
      <c r="G65" s="6">
        <v>4.7E-2</v>
      </c>
      <c r="H65" s="1">
        <v>7.0000000000000007E-2</v>
      </c>
      <c r="I65" s="1"/>
    </row>
    <row r="66" spans="1:9" x14ac:dyDescent="0.3">
      <c r="A66" s="1" t="s">
        <v>21</v>
      </c>
      <c r="B66" s="1" t="s">
        <v>19</v>
      </c>
      <c r="C66" s="1" t="s">
        <v>16</v>
      </c>
      <c r="D66" s="1">
        <v>65536</v>
      </c>
      <c r="E66" s="3">
        <v>27.64</v>
      </c>
      <c r="F66" s="5">
        <v>36185703.509999998</v>
      </c>
      <c r="G66" s="6">
        <v>2.1999999999999999E-2</v>
      </c>
      <c r="H66" s="1">
        <v>0.02</v>
      </c>
      <c r="I66" s="1"/>
    </row>
    <row r="67" spans="1:9" x14ac:dyDescent="0.3">
      <c r="A67" s="1" t="s">
        <v>21</v>
      </c>
      <c r="B67" s="1" t="s">
        <v>19</v>
      </c>
      <c r="C67" s="1" t="s">
        <v>17</v>
      </c>
      <c r="D67" s="1">
        <v>65536</v>
      </c>
      <c r="E67" s="3">
        <v>128</v>
      </c>
      <c r="F67" s="5">
        <v>7812588.4800000004</v>
      </c>
      <c r="G67" s="6">
        <v>1.7999999999999999E-2</v>
      </c>
      <c r="H67" s="1">
        <v>0.09</v>
      </c>
      <c r="I67" s="1"/>
    </row>
    <row r="68" spans="1:9" x14ac:dyDescent="0.3">
      <c r="A68" s="1" t="s">
        <v>21</v>
      </c>
      <c r="B68" s="1" t="s">
        <v>15</v>
      </c>
      <c r="C68" s="1" t="s">
        <v>16</v>
      </c>
      <c r="D68" s="1">
        <v>262144</v>
      </c>
      <c r="E68" s="3">
        <v>25.54</v>
      </c>
      <c r="F68" s="5">
        <v>39155985.840000004</v>
      </c>
      <c r="G68" s="6">
        <v>0.10299999999999999</v>
      </c>
      <c r="H68" s="1">
        <v>7.0000000000000007E-2</v>
      </c>
      <c r="I68" s="1" t="s">
        <v>39</v>
      </c>
    </row>
    <row r="69" spans="1:9" x14ac:dyDescent="0.3">
      <c r="A69" s="1" t="s">
        <v>21</v>
      </c>
      <c r="B69" s="1" t="s">
        <v>15</v>
      </c>
      <c r="C69" s="1" t="s">
        <v>17</v>
      </c>
      <c r="D69" s="1">
        <v>262144</v>
      </c>
      <c r="E69" s="3">
        <v>207.05</v>
      </c>
      <c r="F69" s="5">
        <v>4829674.49</v>
      </c>
      <c r="G69" s="6">
        <v>1.7000000000000001E-2</v>
      </c>
      <c r="H69" s="1">
        <v>0.6</v>
      </c>
      <c r="I69" s="1"/>
    </row>
    <row r="70" spans="1:9" x14ac:dyDescent="0.3">
      <c r="A70" s="1" t="s">
        <v>21</v>
      </c>
      <c r="B70" s="1" t="s">
        <v>18</v>
      </c>
      <c r="C70" s="1" t="s">
        <v>16</v>
      </c>
      <c r="D70" s="1">
        <v>262144</v>
      </c>
      <c r="E70" s="3">
        <v>38.92</v>
      </c>
      <c r="F70" s="5">
        <v>25693434.780000001</v>
      </c>
      <c r="G70" s="6">
        <v>1.7999999999999999E-2</v>
      </c>
      <c r="H70" s="1">
        <v>0.11</v>
      </c>
      <c r="I70" s="1"/>
    </row>
    <row r="71" spans="1:9" x14ac:dyDescent="0.3">
      <c r="A71" s="1" t="s">
        <v>21</v>
      </c>
      <c r="B71" s="1" t="s">
        <v>18</v>
      </c>
      <c r="C71" s="1" t="s">
        <v>17</v>
      </c>
      <c r="D71" s="1">
        <v>262144</v>
      </c>
      <c r="E71" s="3">
        <v>176.83</v>
      </c>
      <c r="F71" s="5">
        <v>5655279.8600000003</v>
      </c>
      <c r="G71" s="6">
        <v>2.5999999999999999E-2</v>
      </c>
      <c r="H71" s="1">
        <v>0.54</v>
      </c>
      <c r="I71" s="1"/>
    </row>
    <row r="72" spans="1:9" x14ac:dyDescent="0.3">
      <c r="A72" s="1" t="s">
        <v>21</v>
      </c>
      <c r="B72" s="1" t="s">
        <v>19</v>
      </c>
      <c r="C72" s="1" t="s">
        <v>16</v>
      </c>
      <c r="D72" s="1">
        <v>262144</v>
      </c>
      <c r="E72" s="3">
        <v>30.77</v>
      </c>
      <c r="F72" s="5">
        <v>32496624.75</v>
      </c>
      <c r="G72" s="6">
        <v>2.8000000000000001E-2</v>
      </c>
      <c r="H72" s="1">
        <v>0.09</v>
      </c>
      <c r="I72" s="1"/>
    </row>
    <row r="73" spans="1:9" x14ac:dyDescent="0.3">
      <c r="A73" s="1" t="s">
        <v>21</v>
      </c>
      <c r="B73" s="1" t="s">
        <v>19</v>
      </c>
      <c r="C73" s="1" t="s">
        <v>17</v>
      </c>
      <c r="D73" s="1">
        <v>262144</v>
      </c>
      <c r="E73" s="3">
        <v>208.07</v>
      </c>
      <c r="F73" s="5">
        <v>4805962.8099999996</v>
      </c>
      <c r="G73" s="6">
        <v>1.0999999999999999E-2</v>
      </c>
      <c r="H73" s="1">
        <v>0.6</v>
      </c>
      <c r="I7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3"/>
  <sheetViews>
    <sheetView zoomScaleNormal="100" workbookViewId="0">
      <pane ySplit="1" topLeftCell="A47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8" customWidth="1"/>
    <col min="4" max="4" width="9" customWidth="1"/>
    <col min="5" max="5" width="10" customWidth="1"/>
    <col min="6" max="6" width="14" customWidth="1"/>
    <col min="7" max="7" width="8" customWidth="1"/>
    <col min="8" max="9" width="10" customWidth="1"/>
  </cols>
  <sheetData>
    <row r="1" spans="1:9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spans="1:9" x14ac:dyDescent="0.3">
      <c r="A2" s="1" t="s">
        <v>14</v>
      </c>
      <c r="B2" s="1" t="s">
        <v>15</v>
      </c>
      <c r="C2" s="1" t="s">
        <v>16</v>
      </c>
      <c r="D2" s="1">
        <v>4096</v>
      </c>
      <c r="E2" s="3">
        <v>45.93</v>
      </c>
      <c r="F2" s="5">
        <v>21773441.199999999</v>
      </c>
      <c r="G2" s="6">
        <v>8.0000000000000002E-3</v>
      </c>
      <c r="H2" s="1">
        <v>0.11</v>
      </c>
      <c r="I2" s="1"/>
    </row>
    <row r="3" spans="1:9" x14ac:dyDescent="0.3">
      <c r="A3" s="1" t="s">
        <v>14</v>
      </c>
      <c r="B3" s="1" t="s">
        <v>15</v>
      </c>
      <c r="C3" s="1" t="s">
        <v>17</v>
      </c>
      <c r="D3" s="1">
        <v>4096</v>
      </c>
      <c r="E3" s="3">
        <v>41.06</v>
      </c>
      <c r="F3" s="5">
        <v>24354167.32</v>
      </c>
      <c r="G3" s="6">
        <v>4.0000000000000001E-3</v>
      </c>
      <c r="H3" s="1">
        <v>0.1</v>
      </c>
      <c r="I3" s="1"/>
    </row>
    <row r="4" spans="1:9" x14ac:dyDescent="0.3">
      <c r="A4" s="1" t="s">
        <v>14</v>
      </c>
      <c r="B4" s="1" t="s">
        <v>18</v>
      </c>
      <c r="C4" s="1" t="s">
        <v>16</v>
      </c>
      <c r="D4" s="1">
        <v>4096</v>
      </c>
      <c r="E4" s="3">
        <v>14.35</v>
      </c>
      <c r="F4" s="5">
        <v>69669078.430000007</v>
      </c>
      <c r="G4" s="6">
        <v>8.0000000000000002E-3</v>
      </c>
      <c r="H4" s="1">
        <v>0.03</v>
      </c>
      <c r="I4" s="1"/>
    </row>
    <row r="5" spans="1:9" x14ac:dyDescent="0.3">
      <c r="A5" s="1" t="s">
        <v>14</v>
      </c>
      <c r="B5" s="1" t="s">
        <v>18</v>
      </c>
      <c r="C5" s="1" t="s">
        <v>17</v>
      </c>
      <c r="D5" s="1">
        <v>4096</v>
      </c>
      <c r="E5" s="3">
        <v>12.54</v>
      </c>
      <c r="F5" s="5">
        <v>79731541.930000007</v>
      </c>
      <c r="G5" s="6">
        <v>1.7999999999999999E-2</v>
      </c>
      <c r="H5" s="1">
        <v>0.03</v>
      </c>
      <c r="I5" s="1"/>
    </row>
    <row r="6" spans="1:9" x14ac:dyDescent="0.3">
      <c r="A6" s="1" t="s">
        <v>14</v>
      </c>
      <c r="B6" s="1" t="s">
        <v>19</v>
      </c>
      <c r="C6" s="1" t="s">
        <v>16</v>
      </c>
      <c r="D6" s="1">
        <v>4096</v>
      </c>
      <c r="E6" s="3">
        <v>9.4700000000000006</v>
      </c>
      <c r="F6" s="5">
        <v>105587081.76000001</v>
      </c>
      <c r="G6" s="6">
        <v>1.9E-2</v>
      </c>
      <c r="H6" s="1">
        <v>0.02</v>
      </c>
      <c r="I6" s="1"/>
    </row>
    <row r="7" spans="1:9" x14ac:dyDescent="0.3">
      <c r="A7" s="1" t="s">
        <v>14</v>
      </c>
      <c r="B7" s="1" t="s">
        <v>19</v>
      </c>
      <c r="C7" s="1" t="s">
        <v>17</v>
      </c>
      <c r="D7" s="1">
        <v>4096</v>
      </c>
      <c r="E7" s="3">
        <v>11.46</v>
      </c>
      <c r="F7" s="5">
        <v>87291916.379999995</v>
      </c>
      <c r="G7" s="6">
        <v>1.7000000000000001E-2</v>
      </c>
      <c r="H7" s="1">
        <v>0.03</v>
      </c>
      <c r="I7" s="1"/>
    </row>
    <row r="8" spans="1:9" x14ac:dyDescent="0.3">
      <c r="A8" s="1" t="s">
        <v>14</v>
      </c>
      <c r="B8" s="1" t="s">
        <v>15</v>
      </c>
      <c r="C8" s="1" t="s">
        <v>16</v>
      </c>
      <c r="D8" s="1">
        <v>16384</v>
      </c>
      <c r="E8" s="3">
        <v>65.180000000000007</v>
      </c>
      <c r="F8" s="5">
        <v>15342962.25</v>
      </c>
      <c r="G8" s="6">
        <v>5.0000000000000001E-3</v>
      </c>
      <c r="H8" s="1">
        <v>0.16</v>
      </c>
      <c r="I8" s="1"/>
    </row>
    <row r="9" spans="1:9" x14ac:dyDescent="0.3">
      <c r="A9" s="1" t="s">
        <v>14</v>
      </c>
      <c r="B9" s="1" t="s">
        <v>15</v>
      </c>
      <c r="C9" s="1" t="s">
        <v>17</v>
      </c>
      <c r="D9" s="1">
        <v>16384</v>
      </c>
      <c r="E9" s="3">
        <v>59.57</v>
      </c>
      <c r="F9" s="5">
        <v>16785823.68</v>
      </c>
      <c r="G9" s="6">
        <v>1.4E-2</v>
      </c>
      <c r="H9" s="1">
        <v>0.14000000000000001</v>
      </c>
      <c r="I9" s="1"/>
    </row>
    <row r="10" spans="1:9" x14ac:dyDescent="0.3">
      <c r="A10" s="1" t="s">
        <v>14</v>
      </c>
      <c r="B10" s="1" t="s">
        <v>18</v>
      </c>
      <c r="C10" s="1" t="s">
        <v>16</v>
      </c>
      <c r="D10" s="1">
        <v>16384</v>
      </c>
      <c r="E10" s="3">
        <v>26.01</v>
      </c>
      <c r="F10" s="5">
        <v>38451447.109999999</v>
      </c>
      <c r="G10" s="6">
        <v>5.0000000000000001E-3</v>
      </c>
      <c r="H10" s="1">
        <v>0.06</v>
      </c>
      <c r="I10" s="1"/>
    </row>
    <row r="11" spans="1:9" x14ac:dyDescent="0.3">
      <c r="A11" s="1" t="s">
        <v>14</v>
      </c>
      <c r="B11" s="1" t="s">
        <v>18</v>
      </c>
      <c r="C11" s="1" t="s">
        <v>17</v>
      </c>
      <c r="D11" s="1">
        <v>16384</v>
      </c>
      <c r="E11" s="3">
        <v>23.67</v>
      </c>
      <c r="F11" s="5">
        <v>42240136.240000002</v>
      </c>
      <c r="G11" s="6">
        <v>6.0000000000000001E-3</v>
      </c>
      <c r="H11" s="1">
        <v>0.06</v>
      </c>
      <c r="I11" s="1"/>
    </row>
    <row r="12" spans="1:9" x14ac:dyDescent="0.3">
      <c r="A12" s="1" t="s">
        <v>14</v>
      </c>
      <c r="B12" s="1" t="s">
        <v>19</v>
      </c>
      <c r="C12" s="1" t="s">
        <v>16</v>
      </c>
      <c r="D12" s="1">
        <v>16384</v>
      </c>
      <c r="E12" s="3">
        <v>18</v>
      </c>
      <c r="F12" s="5">
        <v>55570831.649999999</v>
      </c>
      <c r="G12" s="6">
        <v>0.01</v>
      </c>
      <c r="H12" s="1">
        <v>0.04</v>
      </c>
      <c r="I12" s="1"/>
    </row>
    <row r="13" spans="1:9" x14ac:dyDescent="0.3">
      <c r="A13" s="1" t="s">
        <v>14</v>
      </c>
      <c r="B13" s="1" t="s">
        <v>19</v>
      </c>
      <c r="C13" s="1" t="s">
        <v>17</v>
      </c>
      <c r="D13" s="1">
        <v>16384</v>
      </c>
      <c r="E13" s="3">
        <v>20.71</v>
      </c>
      <c r="F13" s="5">
        <v>48290347.939999998</v>
      </c>
      <c r="G13" s="6">
        <v>7.0000000000000001E-3</v>
      </c>
      <c r="H13" s="1">
        <v>0.05</v>
      </c>
      <c r="I13" s="1"/>
    </row>
    <row r="14" spans="1:9" x14ac:dyDescent="0.3">
      <c r="A14" s="1" t="s">
        <v>14</v>
      </c>
      <c r="B14" s="1" t="s">
        <v>15</v>
      </c>
      <c r="C14" s="1" t="s">
        <v>16</v>
      </c>
      <c r="D14" s="1">
        <v>65536</v>
      </c>
      <c r="E14" s="3">
        <v>101.7</v>
      </c>
      <c r="F14" s="5">
        <v>9832389.3200000003</v>
      </c>
      <c r="G14" s="6">
        <v>0.01</v>
      </c>
      <c r="H14" s="1">
        <v>0.25</v>
      </c>
      <c r="I14" s="1"/>
    </row>
    <row r="15" spans="1:9" x14ac:dyDescent="0.3">
      <c r="A15" s="1" t="s">
        <v>14</v>
      </c>
      <c r="B15" s="1" t="s">
        <v>15</v>
      </c>
      <c r="C15" s="1" t="s">
        <v>17</v>
      </c>
      <c r="D15" s="1">
        <v>65536</v>
      </c>
      <c r="E15" s="3">
        <v>94.68</v>
      </c>
      <c r="F15" s="5">
        <v>10562066</v>
      </c>
      <c r="G15" s="6">
        <v>2E-3</v>
      </c>
      <c r="H15" s="1">
        <v>0.23</v>
      </c>
      <c r="I15" s="1"/>
    </row>
    <row r="16" spans="1:9" x14ac:dyDescent="0.3">
      <c r="A16" s="1" t="s">
        <v>14</v>
      </c>
      <c r="B16" s="1" t="s">
        <v>18</v>
      </c>
      <c r="C16" s="1" t="s">
        <v>16</v>
      </c>
      <c r="D16" s="1">
        <v>65536</v>
      </c>
      <c r="E16" s="3">
        <v>40.479999999999997</v>
      </c>
      <c r="F16" s="5">
        <v>24704968.489999998</v>
      </c>
      <c r="G16" s="6">
        <v>5.0000000000000001E-3</v>
      </c>
      <c r="H16" s="1">
        <v>0.1</v>
      </c>
      <c r="I16" s="1"/>
    </row>
    <row r="17" spans="1:9" x14ac:dyDescent="0.3">
      <c r="A17" s="1" t="s">
        <v>14</v>
      </c>
      <c r="B17" s="1" t="s">
        <v>18</v>
      </c>
      <c r="C17" s="1" t="s">
        <v>17</v>
      </c>
      <c r="D17" s="1">
        <v>65536</v>
      </c>
      <c r="E17" s="3">
        <v>36.51</v>
      </c>
      <c r="F17" s="5">
        <v>27387668.219999999</v>
      </c>
      <c r="G17" s="6">
        <v>8.9999999999999993E-3</v>
      </c>
      <c r="H17" s="1">
        <v>0.09</v>
      </c>
      <c r="I17" s="1"/>
    </row>
    <row r="18" spans="1:9" x14ac:dyDescent="0.3">
      <c r="A18" s="1" t="s">
        <v>14</v>
      </c>
      <c r="B18" s="1" t="s">
        <v>19</v>
      </c>
      <c r="C18" s="1" t="s">
        <v>16</v>
      </c>
      <c r="D18" s="1">
        <v>65536</v>
      </c>
      <c r="E18" s="3">
        <v>26.48</v>
      </c>
      <c r="F18" s="5">
        <v>37771120.939999998</v>
      </c>
      <c r="G18" s="6">
        <v>1.2E-2</v>
      </c>
      <c r="H18" s="1">
        <v>0.06</v>
      </c>
      <c r="I18" s="1"/>
    </row>
    <row r="19" spans="1:9" x14ac:dyDescent="0.3">
      <c r="A19" s="1" t="s">
        <v>14</v>
      </c>
      <c r="B19" s="1" t="s">
        <v>19</v>
      </c>
      <c r="C19" s="1" t="s">
        <v>17</v>
      </c>
      <c r="D19" s="1">
        <v>65536</v>
      </c>
      <c r="E19" s="3">
        <v>29.97</v>
      </c>
      <c r="F19" s="5">
        <v>33365799.91</v>
      </c>
      <c r="G19" s="6">
        <v>2E-3</v>
      </c>
      <c r="H19" s="1">
        <v>7.0000000000000007E-2</v>
      </c>
      <c r="I19" s="1"/>
    </row>
    <row r="20" spans="1:9" x14ac:dyDescent="0.3">
      <c r="A20" s="1" t="s">
        <v>14</v>
      </c>
      <c r="B20" s="1" t="s">
        <v>15</v>
      </c>
      <c r="C20" s="1" t="s">
        <v>16</v>
      </c>
      <c r="D20" s="1">
        <v>262144</v>
      </c>
      <c r="E20" s="3">
        <v>183.53</v>
      </c>
      <c r="F20" s="5">
        <v>5448657.96</v>
      </c>
      <c r="G20" s="6">
        <v>6.0000000000000001E-3</v>
      </c>
      <c r="H20" s="1">
        <v>0.45</v>
      </c>
      <c r="I20" s="1"/>
    </row>
    <row r="21" spans="1:9" x14ac:dyDescent="0.3">
      <c r="A21" s="1" t="s">
        <v>14</v>
      </c>
      <c r="B21" s="1" t="s">
        <v>15</v>
      </c>
      <c r="C21" s="1" t="s">
        <v>17</v>
      </c>
      <c r="D21" s="1">
        <v>262144</v>
      </c>
      <c r="E21" s="3">
        <v>183.13</v>
      </c>
      <c r="F21" s="5">
        <v>5460567.2699999996</v>
      </c>
      <c r="G21" s="6">
        <v>1.2999999999999999E-2</v>
      </c>
      <c r="H21" s="1">
        <v>0.46</v>
      </c>
      <c r="I21" s="1"/>
    </row>
    <row r="22" spans="1:9" x14ac:dyDescent="0.3">
      <c r="A22" s="1" t="s">
        <v>14</v>
      </c>
      <c r="B22" s="1" t="s">
        <v>18</v>
      </c>
      <c r="C22" s="1" t="s">
        <v>16</v>
      </c>
      <c r="D22" s="1">
        <v>262144</v>
      </c>
      <c r="E22" s="3">
        <v>80.680000000000007</v>
      </c>
      <c r="F22" s="5">
        <v>12394917.24</v>
      </c>
      <c r="G22" s="6">
        <v>1.6E-2</v>
      </c>
      <c r="H22" s="1">
        <v>0.2</v>
      </c>
      <c r="I22" s="1"/>
    </row>
    <row r="23" spans="1:9" x14ac:dyDescent="0.3">
      <c r="A23" s="1" t="s">
        <v>14</v>
      </c>
      <c r="B23" s="1" t="s">
        <v>18</v>
      </c>
      <c r="C23" s="1" t="s">
        <v>17</v>
      </c>
      <c r="D23" s="1">
        <v>262144</v>
      </c>
      <c r="E23" s="3">
        <v>70.930000000000007</v>
      </c>
      <c r="F23" s="5">
        <v>14098053.390000001</v>
      </c>
      <c r="G23" s="6">
        <v>7.0000000000000001E-3</v>
      </c>
      <c r="H23" s="1">
        <v>0.16</v>
      </c>
      <c r="I23" s="1"/>
    </row>
    <row r="24" spans="1:9" x14ac:dyDescent="0.3">
      <c r="A24" s="1" t="s">
        <v>14</v>
      </c>
      <c r="B24" s="1" t="s">
        <v>19</v>
      </c>
      <c r="C24" s="1" t="s">
        <v>16</v>
      </c>
      <c r="D24" s="1">
        <v>262144</v>
      </c>
      <c r="E24" s="3">
        <v>49.1</v>
      </c>
      <c r="F24" s="5">
        <v>20367029.23</v>
      </c>
      <c r="G24" s="6">
        <v>6.0000000000000001E-3</v>
      </c>
      <c r="H24" s="1">
        <v>0.12</v>
      </c>
      <c r="I24" s="1"/>
    </row>
    <row r="25" spans="1:9" x14ac:dyDescent="0.3">
      <c r="A25" s="1" t="s">
        <v>14</v>
      </c>
      <c r="B25" s="1" t="s">
        <v>19</v>
      </c>
      <c r="C25" s="1" t="s">
        <v>17</v>
      </c>
      <c r="D25" s="1">
        <v>262144</v>
      </c>
      <c r="E25" s="3">
        <v>52.7</v>
      </c>
      <c r="F25" s="5">
        <v>18974102.449999999</v>
      </c>
      <c r="G25" s="6">
        <v>7.0000000000000001E-3</v>
      </c>
      <c r="H25" s="1">
        <v>0.13</v>
      </c>
      <c r="I25" s="1"/>
    </row>
    <row r="26" spans="1:9" x14ac:dyDescent="0.3">
      <c r="A26" s="1" t="s">
        <v>20</v>
      </c>
      <c r="B26" s="1" t="s">
        <v>15</v>
      </c>
      <c r="C26" s="1" t="s">
        <v>16</v>
      </c>
      <c r="D26" s="1">
        <v>4096</v>
      </c>
      <c r="E26" s="3">
        <v>20.16</v>
      </c>
      <c r="F26" s="5">
        <v>49600988.140000001</v>
      </c>
      <c r="G26" s="6">
        <v>2.5999999999999999E-2</v>
      </c>
      <c r="H26" s="1">
        <v>0</v>
      </c>
      <c r="I26" s="1"/>
    </row>
    <row r="27" spans="1:9" x14ac:dyDescent="0.3">
      <c r="A27" s="1" t="s">
        <v>20</v>
      </c>
      <c r="B27" s="1" t="s">
        <v>15</v>
      </c>
      <c r="C27" s="1" t="s">
        <v>17</v>
      </c>
      <c r="D27" s="1">
        <v>4096</v>
      </c>
      <c r="E27" s="3">
        <v>54.89</v>
      </c>
      <c r="F27" s="5">
        <v>18218776.550000001</v>
      </c>
      <c r="G27" s="6">
        <v>1.2E-2</v>
      </c>
      <c r="H27" s="1">
        <v>0</v>
      </c>
      <c r="I27" s="1"/>
    </row>
    <row r="28" spans="1:9" x14ac:dyDescent="0.3">
      <c r="A28" s="1" t="s">
        <v>20</v>
      </c>
      <c r="B28" s="1" t="s">
        <v>18</v>
      </c>
      <c r="C28" s="1" t="s">
        <v>16</v>
      </c>
      <c r="D28" s="1">
        <v>4096</v>
      </c>
      <c r="E28" s="3">
        <v>22.36</v>
      </c>
      <c r="F28" s="5">
        <v>44717133.560000002</v>
      </c>
      <c r="G28" s="6">
        <v>2.1999999999999999E-2</v>
      </c>
      <c r="H28" s="1">
        <v>0</v>
      </c>
      <c r="I28" s="1"/>
    </row>
    <row r="29" spans="1:9" x14ac:dyDescent="0.3">
      <c r="A29" s="1" t="s">
        <v>20</v>
      </c>
      <c r="B29" s="1" t="s">
        <v>18</v>
      </c>
      <c r="C29" s="1" t="s">
        <v>17</v>
      </c>
      <c r="D29" s="1">
        <v>4096</v>
      </c>
      <c r="E29" s="3">
        <v>36.82</v>
      </c>
      <c r="F29" s="5">
        <v>27158561.98</v>
      </c>
      <c r="G29" s="6">
        <v>0.01</v>
      </c>
      <c r="H29" s="1">
        <v>0</v>
      </c>
      <c r="I29" s="1"/>
    </row>
    <row r="30" spans="1:9" x14ac:dyDescent="0.3">
      <c r="A30" s="1" t="s">
        <v>20</v>
      </c>
      <c r="B30" s="1" t="s">
        <v>19</v>
      </c>
      <c r="C30" s="1" t="s">
        <v>16</v>
      </c>
      <c r="D30" s="1">
        <v>4096</v>
      </c>
      <c r="E30" s="3">
        <v>24.89</v>
      </c>
      <c r="F30" s="5">
        <v>40177345.310000002</v>
      </c>
      <c r="G30" s="6">
        <v>1.7000000000000001E-2</v>
      </c>
      <c r="H30" s="1">
        <v>0</v>
      </c>
      <c r="I30" s="1"/>
    </row>
    <row r="31" spans="1:9" x14ac:dyDescent="0.3">
      <c r="A31" s="1" t="s">
        <v>20</v>
      </c>
      <c r="B31" s="1" t="s">
        <v>19</v>
      </c>
      <c r="C31" s="1" t="s">
        <v>17</v>
      </c>
      <c r="D31" s="1">
        <v>4096</v>
      </c>
      <c r="E31" s="3">
        <v>60.26</v>
      </c>
      <c r="F31" s="5">
        <v>16595358.49</v>
      </c>
      <c r="G31" s="6">
        <v>1.2999999999999999E-2</v>
      </c>
      <c r="H31" s="1">
        <v>0</v>
      </c>
      <c r="I31" s="1"/>
    </row>
    <row r="32" spans="1:9" x14ac:dyDescent="0.3">
      <c r="A32" s="1" t="s">
        <v>20</v>
      </c>
      <c r="B32" s="1" t="s">
        <v>15</v>
      </c>
      <c r="C32" s="1" t="s">
        <v>16</v>
      </c>
      <c r="D32" s="1">
        <v>16384</v>
      </c>
      <c r="E32" s="3">
        <v>23.6</v>
      </c>
      <c r="F32" s="5">
        <v>42368870.880000003</v>
      </c>
      <c r="G32" s="6">
        <v>5.2999999999999999E-2</v>
      </c>
      <c r="H32" s="1">
        <v>0</v>
      </c>
      <c r="I32" s="1" t="s">
        <v>39</v>
      </c>
    </row>
    <row r="33" spans="1:9" x14ac:dyDescent="0.3">
      <c r="A33" s="1" t="s">
        <v>20</v>
      </c>
      <c r="B33" s="1" t="s">
        <v>15</v>
      </c>
      <c r="C33" s="1" t="s">
        <v>17</v>
      </c>
      <c r="D33" s="1">
        <v>16384</v>
      </c>
      <c r="E33" s="3">
        <v>69.180000000000007</v>
      </c>
      <c r="F33" s="5">
        <v>14455365.18</v>
      </c>
      <c r="G33" s="6">
        <v>0.02</v>
      </c>
      <c r="H33" s="1">
        <v>0.01</v>
      </c>
      <c r="I33" s="1"/>
    </row>
    <row r="34" spans="1:9" x14ac:dyDescent="0.3">
      <c r="A34" s="1" t="s">
        <v>20</v>
      </c>
      <c r="B34" s="1" t="s">
        <v>18</v>
      </c>
      <c r="C34" s="1" t="s">
        <v>16</v>
      </c>
      <c r="D34" s="1">
        <v>16384</v>
      </c>
      <c r="E34" s="3">
        <v>29.15</v>
      </c>
      <c r="F34" s="5">
        <v>34310820.350000001</v>
      </c>
      <c r="G34" s="6">
        <v>4.8000000000000001E-2</v>
      </c>
      <c r="H34" s="1">
        <v>0.01</v>
      </c>
      <c r="I34" s="1"/>
    </row>
    <row r="35" spans="1:9" x14ac:dyDescent="0.3">
      <c r="A35" s="1" t="s">
        <v>20</v>
      </c>
      <c r="B35" s="1" t="s">
        <v>18</v>
      </c>
      <c r="C35" s="1" t="s">
        <v>17</v>
      </c>
      <c r="D35" s="1">
        <v>16384</v>
      </c>
      <c r="E35" s="3">
        <v>56.82</v>
      </c>
      <c r="F35" s="5">
        <v>17599888.280000001</v>
      </c>
      <c r="G35" s="6">
        <v>1.2E-2</v>
      </c>
      <c r="H35" s="1">
        <v>0.01</v>
      </c>
      <c r="I35" s="1"/>
    </row>
    <row r="36" spans="1:9" x14ac:dyDescent="0.3">
      <c r="A36" s="1" t="s">
        <v>20</v>
      </c>
      <c r="B36" s="1" t="s">
        <v>19</v>
      </c>
      <c r="C36" s="1" t="s">
        <v>16</v>
      </c>
      <c r="D36" s="1">
        <v>16384</v>
      </c>
      <c r="E36" s="3">
        <v>30.5</v>
      </c>
      <c r="F36" s="5">
        <v>32791150.550000001</v>
      </c>
      <c r="G36" s="6">
        <v>2.7E-2</v>
      </c>
      <c r="H36" s="1">
        <v>0.01</v>
      </c>
      <c r="I36" s="1"/>
    </row>
    <row r="37" spans="1:9" x14ac:dyDescent="0.3">
      <c r="A37" s="1" t="s">
        <v>20</v>
      </c>
      <c r="B37" s="1" t="s">
        <v>19</v>
      </c>
      <c r="C37" s="1" t="s">
        <v>17</v>
      </c>
      <c r="D37" s="1">
        <v>16384</v>
      </c>
      <c r="E37" s="3">
        <v>78.42</v>
      </c>
      <c r="F37" s="5">
        <v>12751851.800000001</v>
      </c>
      <c r="G37" s="6">
        <v>2E-3</v>
      </c>
      <c r="H37" s="1">
        <v>0.01</v>
      </c>
      <c r="I37" s="1"/>
    </row>
    <row r="38" spans="1:9" x14ac:dyDescent="0.3">
      <c r="A38" s="1" t="s">
        <v>20</v>
      </c>
      <c r="B38" s="1" t="s">
        <v>15</v>
      </c>
      <c r="C38" s="1" t="s">
        <v>16</v>
      </c>
      <c r="D38" s="1">
        <v>65536</v>
      </c>
      <c r="E38" s="3">
        <v>56.8</v>
      </c>
      <c r="F38" s="5">
        <v>17606242.989999998</v>
      </c>
      <c r="G38" s="6">
        <v>3.7999999999999999E-2</v>
      </c>
      <c r="H38" s="1">
        <v>0.03</v>
      </c>
      <c r="I38" s="1"/>
    </row>
    <row r="39" spans="1:9" x14ac:dyDescent="0.3">
      <c r="A39" s="1" t="s">
        <v>20</v>
      </c>
      <c r="B39" s="1" t="s">
        <v>15</v>
      </c>
      <c r="C39" s="1" t="s">
        <v>17</v>
      </c>
      <c r="D39" s="1">
        <v>65536</v>
      </c>
      <c r="E39" s="3">
        <v>94.19</v>
      </c>
      <c r="F39" s="5">
        <v>10616490.619999999</v>
      </c>
      <c r="G39" s="6">
        <v>3.5999999999999997E-2</v>
      </c>
      <c r="H39" s="1">
        <v>7.0000000000000007E-2</v>
      </c>
      <c r="I39" s="1"/>
    </row>
    <row r="40" spans="1:9" x14ac:dyDescent="0.3">
      <c r="A40" s="1" t="s">
        <v>20</v>
      </c>
      <c r="B40" s="1" t="s">
        <v>18</v>
      </c>
      <c r="C40" s="1" t="s">
        <v>16</v>
      </c>
      <c r="D40" s="1">
        <v>65536</v>
      </c>
      <c r="E40" s="3">
        <v>53.84</v>
      </c>
      <c r="F40" s="5">
        <v>18574968.629999999</v>
      </c>
      <c r="G40" s="6">
        <v>0.28999999999999998</v>
      </c>
      <c r="H40" s="1">
        <v>0.04</v>
      </c>
      <c r="I40" s="1" t="s">
        <v>39</v>
      </c>
    </row>
    <row r="41" spans="1:9" x14ac:dyDescent="0.3">
      <c r="A41" s="1" t="s">
        <v>20</v>
      </c>
      <c r="B41" s="1" t="s">
        <v>18</v>
      </c>
      <c r="C41" s="1" t="s">
        <v>17</v>
      </c>
      <c r="D41" s="1">
        <v>65536</v>
      </c>
      <c r="E41" s="3">
        <v>99.18</v>
      </c>
      <c r="F41" s="5">
        <v>10082418.109999999</v>
      </c>
      <c r="G41" s="6">
        <v>6.2E-2</v>
      </c>
      <c r="H41" s="1">
        <v>7.0000000000000007E-2</v>
      </c>
      <c r="I41" s="1" t="s">
        <v>39</v>
      </c>
    </row>
    <row r="42" spans="1:9" x14ac:dyDescent="0.3">
      <c r="A42" s="1" t="s">
        <v>20</v>
      </c>
      <c r="B42" s="1" t="s">
        <v>19</v>
      </c>
      <c r="C42" s="1" t="s">
        <v>16</v>
      </c>
      <c r="D42" s="1">
        <v>65536</v>
      </c>
      <c r="E42" s="3">
        <v>32.630000000000003</v>
      </c>
      <c r="F42" s="5">
        <v>30644002.870000001</v>
      </c>
      <c r="G42" s="6">
        <v>3.7999999999999999E-2</v>
      </c>
      <c r="H42" s="1">
        <v>0.04</v>
      </c>
      <c r="I42" s="1"/>
    </row>
    <row r="43" spans="1:9" x14ac:dyDescent="0.3">
      <c r="A43" s="1" t="s">
        <v>20</v>
      </c>
      <c r="B43" s="1" t="s">
        <v>19</v>
      </c>
      <c r="C43" s="1" t="s">
        <v>17</v>
      </c>
      <c r="D43" s="1">
        <v>65536</v>
      </c>
      <c r="E43" s="3">
        <v>119.54</v>
      </c>
      <c r="F43" s="5">
        <v>8365270.9000000004</v>
      </c>
      <c r="G43" s="6">
        <v>1.9E-2</v>
      </c>
      <c r="H43" s="1">
        <v>0.09</v>
      </c>
      <c r="I43" s="1"/>
    </row>
    <row r="44" spans="1:9" x14ac:dyDescent="0.3">
      <c r="A44" s="1" t="s">
        <v>20</v>
      </c>
      <c r="B44" s="1" t="s">
        <v>15</v>
      </c>
      <c r="C44" s="1" t="s">
        <v>16</v>
      </c>
      <c r="D44" s="1">
        <v>262144</v>
      </c>
      <c r="E44" s="3">
        <v>76.790000000000006</v>
      </c>
      <c r="F44" s="5">
        <v>13023113.66</v>
      </c>
      <c r="G44" s="6">
        <v>0.107</v>
      </c>
      <c r="H44" s="1">
        <v>0.22</v>
      </c>
      <c r="I44" s="1" t="s">
        <v>39</v>
      </c>
    </row>
    <row r="45" spans="1:9" x14ac:dyDescent="0.3">
      <c r="A45" s="1" t="s">
        <v>20</v>
      </c>
      <c r="B45" s="1" t="s">
        <v>15</v>
      </c>
      <c r="C45" s="1" t="s">
        <v>17</v>
      </c>
      <c r="D45" s="1">
        <v>262144</v>
      </c>
      <c r="E45" s="3">
        <v>148.47999999999999</v>
      </c>
      <c r="F45" s="5">
        <v>6734706.7000000002</v>
      </c>
      <c r="G45" s="6">
        <v>1.2999999999999999E-2</v>
      </c>
      <c r="H45" s="1">
        <v>0.43</v>
      </c>
      <c r="I45" s="1"/>
    </row>
    <row r="46" spans="1:9" x14ac:dyDescent="0.3">
      <c r="A46" s="1" t="s">
        <v>20</v>
      </c>
      <c r="B46" s="1" t="s">
        <v>18</v>
      </c>
      <c r="C46" s="1" t="s">
        <v>16</v>
      </c>
      <c r="D46" s="1">
        <v>262144</v>
      </c>
      <c r="E46" s="3">
        <v>82.25</v>
      </c>
      <c r="F46" s="5">
        <v>12158137.039999999</v>
      </c>
      <c r="G46" s="6">
        <v>0.01</v>
      </c>
      <c r="H46" s="1">
        <v>0.23</v>
      </c>
      <c r="I46" s="1"/>
    </row>
    <row r="47" spans="1:9" x14ac:dyDescent="0.3">
      <c r="A47" s="1" t="s">
        <v>20</v>
      </c>
      <c r="B47" s="1" t="s">
        <v>18</v>
      </c>
      <c r="C47" s="1" t="s">
        <v>17</v>
      </c>
      <c r="D47" s="1">
        <v>262144</v>
      </c>
      <c r="E47" s="3">
        <v>190.87</v>
      </c>
      <c r="F47" s="5">
        <v>5239295.6900000004</v>
      </c>
      <c r="G47" s="6">
        <v>2.1999999999999999E-2</v>
      </c>
      <c r="H47" s="1">
        <v>0.55000000000000004</v>
      </c>
      <c r="I47" s="1"/>
    </row>
    <row r="48" spans="1:9" x14ac:dyDescent="0.3">
      <c r="A48" s="1" t="s">
        <v>20</v>
      </c>
      <c r="B48" s="1" t="s">
        <v>19</v>
      </c>
      <c r="C48" s="1" t="s">
        <v>16</v>
      </c>
      <c r="D48" s="1">
        <v>262144</v>
      </c>
      <c r="E48" s="3">
        <v>44.81</v>
      </c>
      <c r="F48" s="5">
        <v>22316123.57</v>
      </c>
      <c r="G48" s="6">
        <v>0.02</v>
      </c>
      <c r="H48" s="1">
        <v>0.22</v>
      </c>
      <c r="I48" s="1"/>
    </row>
    <row r="49" spans="1:9" x14ac:dyDescent="0.3">
      <c r="A49" s="1" t="s">
        <v>20</v>
      </c>
      <c r="B49" s="1" t="s">
        <v>19</v>
      </c>
      <c r="C49" s="1" t="s">
        <v>17</v>
      </c>
      <c r="D49" s="1">
        <v>262144</v>
      </c>
      <c r="E49" s="3">
        <v>209.8</v>
      </c>
      <c r="F49" s="5">
        <v>4766357.41</v>
      </c>
      <c r="G49" s="6">
        <v>4.8000000000000001E-2</v>
      </c>
      <c r="H49" s="1">
        <v>0.61</v>
      </c>
      <c r="I49" s="1"/>
    </row>
    <row r="50" spans="1:9" x14ac:dyDescent="0.3">
      <c r="A50" s="1" t="s">
        <v>21</v>
      </c>
      <c r="B50" s="1" t="s">
        <v>15</v>
      </c>
      <c r="C50" s="1" t="s">
        <v>16</v>
      </c>
      <c r="D50" s="1">
        <v>4096</v>
      </c>
      <c r="E50" s="3">
        <v>18.940000000000001</v>
      </c>
      <c r="F50" s="5">
        <v>52786226.090000004</v>
      </c>
      <c r="G50" s="6">
        <v>0.02</v>
      </c>
      <c r="H50" s="1">
        <v>0</v>
      </c>
      <c r="I50" s="1"/>
    </row>
    <row r="51" spans="1:9" x14ac:dyDescent="0.3">
      <c r="A51" s="1" t="s">
        <v>21</v>
      </c>
      <c r="B51" s="1" t="s">
        <v>15</v>
      </c>
      <c r="C51" s="1" t="s">
        <v>17</v>
      </c>
      <c r="D51" s="1">
        <v>4096</v>
      </c>
      <c r="E51" s="3">
        <v>58.7</v>
      </c>
      <c r="F51" s="5">
        <v>17036072.719999999</v>
      </c>
      <c r="G51" s="6">
        <v>1.7000000000000001E-2</v>
      </c>
      <c r="H51" s="1">
        <v>0</v>
      </c>
      <c r="I51" s="1"/>
    </row>
    <row r="52" spans="1:9" x14ac:dyDescent="0.3">
      <c r="A52" s="1" t="s">
        <v>21</v>
      </c>
      <c r="B52" s="1" t="s">
        <v>18</v>
      </c>
      <c r="C52" s="1" t="s">
        <v>16</v>
      </c>
      <c r="D52" s="1">
        <v>4096</v>
      </c>
      <c r="E52" s="3">
        <v>15.23</v>
      </c>
      <c r="F52" s="5">
        <v>65650494.460000001</v>
      </c>
      <c r="G52" s="6">
        <v>8.7999999999999995E-2</v>
      </c>
      <c r="H52" s="1">
        <v>0</v>
      </c>
      <c r="I52" s="1" t="s">
        <v>39</v>
      </c>
    </row>
    <row r="53" spans="1:9" x14ac:dyDescent="0.3">
      <c r="A53" s="1" t="s">
        <v>21</v>
      </c>
      <c r="B53" s="1" t="s">
        <v>18</v>
      </c>
      <c r="C53" s="1" t="s">
        <v>17</v>
      </c>
      <c r="D53" s="1">
        <v>4096</v>
      </c>
      <c r="E53" s="3">
        <v>39.07</v>
      </c>
      <c r="F53" s="5">
        <v>25594241.300000001</v>
      </c>
      <c r="G53" s="6">
        <v>1.4999999999999999E-2</v>
      </c>
      <c r="H53" s="1">
        <v>0</v>
      </c>
      <c r="I53" s="1"/>
    </row>
    <row r="54" spans="1:9" x14ac:dyDescent="0.3">
      <c r="A54" s="1" t="s">
        <v>21</v>
      </c>
      <c r="B54" s="1" t="s">
        <v>19</v>
      </c>
      <c r="C54" s="1" t="s">
        <v>16</v>
      </c>
      <c r="D54" s="1">
        <v>4096</v>
      </c>
      <c r="E54" s="3">
        <v>20.14</v>
      </c>
      <c r="F54" s="5">
        <v>49658115.509999998</v>
      </c>
      <c r="G54" s="6">
        <v>0.03</v>
      </c>
      <c r="H54" s="1">
        <v>0</v>
      </c>
      <c r="I54" s="1"/>
    </row>
    <row r="55" spans="1:9" x14ac:dyDescent="0.3">
      <c r="A55" s="1" t="s">
        <v>21</v>
      </c>
      <c r="B55" s="1" t="s">
        <v>19</v>
      </c>
      <c r="C55" s="1" t="s">
        <v>17</v>
      </c>
      <c r="D55" s="1">
        <v>4096</v>
      </c>
      <c r="E55" s="3">
        <v>62.46</v>
      </c>
      <c r="F55" s="5">
        <v>16009568.220000001</v>
      </c>
      <c r="G55" s="6">
        <v>8.9999999999999993E-3</v>
      </c>
      <c r="H55" s="1">
        <v>0</v>
      </c>
      <c r="I55" s="1"/>
    </row>
    <row r="56" spans="1:9" x14ac:dyDescent="0.3">
      <c r="A56" s="1" t="s">
        <v>21</v>
      </c>
      <c r="B56" s="1" t="s">
        <v>15</v>
      </c>
      <c r="C56" s="1" t="s">
        <v>16</v>
      </c>
      <c r="D56" s="1">
        <v>16384</v>
      </c>
      <c r="E56" s="3">
        <v>19</v>
      </c>
      <c r="F56" s="5">
        <v>52631071.729999997</v>
      </c>
      <c r="G56" s="6">
        <v>8.1000000000000003E-2</v>
      </c>
      <c r="H56" s="1">
        <v>0</v>
      </c>
      <c r="I56" s="1" t="s">
        <v>39</v>
      </c>
    </row>
    <row r="57" spans="1:9" x14ac:dyDescent="0.3">
      <c r="A57" s="1" t="s">
        <v>21</v>
      </c>
      <c r="B57" s="1" t="s">
        <v>15</v>
      </c>
      <c r="C57" s="1" t="s">
        <v>17</v>
      </c>
      <c r="D57" s="1">
        <v>16384</v>
      </c>
      <c r="E57" s="3">
        <v>87.18</v>
      </c>
      <c r="F57" s="5">
        <v>11470682.34</v>
      </c>
      <c r="G57" s="6">
        <v>1.4E-2</v>
      </c>
      <c r="H57" s="1">
        <v>0.02</v>
      </c>
      <c r="I57" s="1"/>
    </row>
    <row r="58" spans="1:9" x14ac:dyDescent="0.3">
      <c r="A58" s="1" t="s">
        <v>21</v>
      </c>
      <c r="B58" s="1" t="s">
        <v>18</v>
      </c>
      <c r="C58" s="1" t="s">
        <v>16</v>
      </c>
      <c r="D58" s="1">
        <v>16384</v>
      </c>
      <c r="E58" s="3">
        <v>23.18</v>
      </c>
      <c r="F58" s="5">
        <v>43144060.189999998</v>
      </c>
      <c r="G58" s="6">
        <v>7.3999999999999996E-2</v>
      </c>
      <c r="H58" s="1">
        <v>0</v>
      </c>
      <c r="I58" s="1" t="s">
        <v>39</v>
      </c>
    </row>
    <row r="59" spans="1:9" x14ac:dyDescent="0.3">
      <c r="A59" s="1" t="s">
        <v>21</v>
      </c>
      <c r="B59" s="1" t="s">
        <v>18</v>
      </c>
      <c r="C59" s="1" t="s">
        <v>17</v>
      </c>
      <c r="D59" s="1">
        <v>16384</v>
      </c>
      <c r="E59" s="3">
        <v>54.18</v>
      </c>
      <c r="F59" s="5">
        <v>18458266.109999999</v>
      </c>
      <c r="G59" s="6">
        <v>1.4E-2</v>
      </c>
      <c r="H59" s="1">
        <v>0.01</v>
      </c>
      <c r="I59" s="1"/>
    </row>
    <row r="60" spans="1:9" x14ac:dyDescent="0.3">
      <c r="A60" s="1" t="s">
        <v>21</v>
      </c>
      <c r="B60" s="1" t="s">
        <v>19</v>
      </c>
      <c r="C60" s="1" t="s">
        <v>16</v>
      </c>
      <c r="D60" s="1">
        <v>16384</v>
      </c>
      <c r="E60" s="3">
        <v>24.76</v>
      </c>
      <c r="F60" s="5">
        <v>40387009.310000002</v>
      </c>
      <c r="G60" s="6">
        <v>3.3000000000000002E-2</v>
      </c>
      <c r="H60" s="1">
        <v>0</v>
      </c>
      <c r="I60" s="1"/>
    </row>
    <row r="61" spans="1:9" x14ac:dyDescent="0.3">
      <c r="A61" s="1" t="s">
        <v>21</v>
      </c>
      <c r="B61" s="1" t="s">
        <v>19</v>
      </c>
      <c r="C61" s="1" t="s">
        <v>17</v>
      </c>
      <c r="D61" s="1">
        <v>16384</v>
      </c>
      <c r="E61" s="3">
        <v>84.61</v>
      </c>
      <c r="F61" s="5">
        <v>11818850.720000001</v>
      </c>
      <c r="G61" s="6">
        <v>2.4E-2</v>
      </c>
      <c r="H61" s="1">
        <v>0.02</v>
      </c>
      <c r="I61" s="1"/>
    </row>
    <row r="62" spans="1:9" x14ac:dyDescent="0.3">
      <c r="A62" s="1" t="s">
        <v>21</v>
      </c>
      <c r="B62" s="1" t="s">
        <v>15</v>
      </c>
      <c r="C62" s="1" t="s">
        <v>16</v>
      </c>
      <c r="D62" s="1">
        <v>65536</v>
      </c>
      <c r="E62" s="3">
        <v>19.53</v>
      </c>
      <c r="F62" s="5">
        <v>51198080.07</v>
      </c>
      <c r="G62" s="6">
        <v>2.7E-2</v>
      </c>
      <c r="H62" s="1">
        <v>0.01</v>
      </c>
      <c r="I62" s="1"/>
    </row>
    <row r="63" spans="1:9" x14ac:dyDescent="0.3">
      <c r="A63" s="1" t="s">
        <v>21</v>
      </c>
      <c r="B63" s="1" t="s">
        <v>15</v>
      </c>
      <c r="C63" s="1" t="s">
        <v>17</v>
      </c>
      <c r="D63" s="1">
        <v>65536</v>
      </c>
      <c r="E63" s="3">
        <v>126.41</v>
      </c>
      <c r="F63" s="5">
        <v>7910588.7199999997</v>
      </c>
      <c r="G63" s="6">
        <v>1.9E-2</v>
      </c>
      <c r="H63" s="1">
        <v>0.09</v>
      </c>
      <c r="I63" s="1"/>
    </row>
    <row r="64" spans="1:9" x14ac:dyDescent="0.3">
      <c r="A64" s="1" t="s">
        <v>21</v>
      </c>
      <c r="B64" s="1" t="s">
        <v>18</v>
      </c>
      <c r="C64" s="1" t="s">
        <v>16</v>
      </c>
      <c r="D64" s="1">
        <v>65536</v>
      </c>
      <c r="E64" s="3">
        <v>33.74</v>
      </c>
      <c r="F64" s="5">
        <v>29637508.52</v>
      </c>
      <c r="G64" s="6">
        <v>9.7000000000000003E-2</v>
      </c>
      <c r="H64" s="1">
        <v>0.03</v>
      </c>
      <c r="I64" s="1" t="s">
        <v>39</v>
      </c>
    </row>
    <row r="65" spans="1:9" x14ac:dyDescent="0.3">
      <c r="A65" s="1" t="s">
        <v>21</v>
      </c>
      <c r="B65" s="1" t="s">
        <v>18</v>
      </c>
      <c r="C65" s="1" t="s">
        <v>17</v>
      </c>
      <c r="D65" s="1">
        <v>65536</v>
      </c>
      <c r="E65" s="3">
        <v>98.99</v>
      </c>
      <c r="F65" s="5">
        <v>10102428.6</v>
      </c>
      <c r="G65" s="6">
        <v>4.1000000000000002E-2</v>
      </c>
      <c r="H65" s="1">
        <v>7.0000000000000007E-2</v>
      </c>
      <c r="I65" s="1"/>
    </row>
    <row r="66" spans="1:9" x14ac:dyDescent="0.3">
      <c r="A66" s="1" t="s">
        <v>21</v>
      </c>
      <c r="B66" s="1" t="s">
        <v>19</v>
      </c>
      <c r="C66" s="1" t="s">
        <v>16</v>
      </c>
      <c r="D66" s="1">
        <v>65536</v>
      </c>
      <c r="E66" s="3">
        <v>26.85</v>
      </c>
      <c r="F66" s="5">
        <v>37238352.5</v>
      </c>
      <c r="G66" s="6">
        <v>3.5999999999999997E-2</v>
      </c>
      <c r="H66" s="1">
        <v>0.02</v>
      </c>
      <c r="I66" s="1"/>
    </row>
    <row r="67" spans="1:9" x14ac:dyDescent="0.3">
      <c r="A67" s="1" t="s">
        <v>21</v>
      </c>
      <c r="B67" s="1" t="s">
        <v>19</v>
      </c>
      <c r="C67" s="1" t="s">
        <v>17</v>
      </c>
      <c r="D67" s="1">
        <v>65536</v>
      </c>
      <c r="E67" s="3">
        <v>129.33000000000001</v>
      </c>
      <c r="F67" s="5">
        <v>7731874.2300000004</v>
      </c>
      <c r="G67" s="6">
        <v>0.03</v>
      </c>
      <c r="H67" s="1">
        <v>0.09</v>
      </c>
      <c r="I67" s="1"/>
    </row>
    <row r="68" spans="1:9" x14ac:dyDescent="0.3">
      <c r="A68" s="1" t="s">
        <v>21</v>
      </c>
      <c r="B68" s="1" t="s">
        <v>15</v>
      </c>
      <c r="C68" s="1" t="s">
        <v>16</v>
      </c>
      <c r="D68" s="1">
        <v>262144</v>
      </c>
      <c r="E68" s="3">
        <v>29.01</v>
      </c>
      <c r="F68" s="5">
        <v>34466536.780000001</v>
      </c>
      <c r="G68" s="6">
        <v>5.5E-2</v>
      </c>
      <c r="H68" s="1">
        <v>0.08</v>
      </c>
      <c r="I68" s="1" t="s">
        <v>39</v>
      </c>
    </row>
    <row r="69" spans="1:9" x14ac:dyDescent="0.3">
      <c r="A69" s="1" t="s">
        <v>21</v>
      </c>
      <c r="B69" s="1" t="s">
        <v>15</v>
      </c>
      <c r="C69" s="1" t="s">
        <v>17</v>
      </c>
      <c r="D69" s="1">
        <v>262144</v>
      </c>
      <c r="E69" s="3">
        <v>240.3</v>
      </c>
      <c r="F69" s="5">
        <v>4161453.88</v>
      </c>
      <c r="G69" s="6">
        <v>1.7000000000000001E-2</v>
      </c>
      <c r="H69" s="1">
        <v>0.68</v>
      </c>
      <c r="I69" s="1"/>
    </row>
    <row r="70" spans="1:9" x14ac:dyDescent="0.3">
      <c r="A70" s="1" t="s">
        <v>21</v>
      </c>
      <c r="B70" s="1" t="s">
        <v>18</v>
      </c>
      <c r="C70" s="1" t="s">
        <v>16</v>
      </c>
      <c r="D70" s="1">
        <v>262144</v>
      </c>
      <c r="E70" s="3">
        <v>35.68</v>
      </c>
      <c r="F70" s="5">
        <v>28028284.039999999</v>
      </c>
      <c r="G70" s="6">
        <v>4.5999999999999999E-2</v>
      </c>
      <c r="H70" s="1">
        <v>0.11</v>
      </c>
      <c r="I70" s="1"/>
    </row>
    <row r="71" spans="1:9" x14ac:dyDescent="0.3">
      <c r="A71" s="1" t="s">
        <v>21</v>
      </c>
      <c r="B71" s="1" t="s">
        <v>18</v>
      </c>
      <c r="C71" s="1" t="s">
        <v>17</v>
      </c>
      <c r="D71" s="1">
        <v>262144</v>
      </c>
      <c r="E71" s="3">
        <v>176.31</v>
      </c>
      <c r="F71" s="5">
        <v>5671934.8700000001</v>
      </c>
      <c r="G71" s="6">
        <v>3.3000000000000002E-2</v>
      </c>
      <c r="H71" s="1">
        <v>0.5</v>
      </c>
      <c r="I71" s="1"/>
    </row>
    <row r="72" spans="1:9" x14ac:dyDescent="0.3">
      <c r="A72" s="1" t="s">
        <v>21</v>
      </c>
      <c r="B72" s="1" t="s">
        <v>19</v>
      </c>
      <c r="C72" s="1" t="s">
        <v>16</v>
      </c>
      <c r="D72" s="1">
        <v>262144</v>
      </c>
      <c r="E72" s="3">
        <v>32.76</v>
      </c>
      <c r="F72" s="5">
        <v>30529042.030000001</v>
      </c>
      <c r="G72" s="6">
        <v>3.7999999999999999E-2</v>
      </c>
      <c r="H72" s="1">
        <v>0.09</v>
      </c>
      <c r="I72" s="1"/>
    </row>
    <row r="73" spans="1:9" x14ac:dyDescent="0.3">
      <c r="A73" s="1" t="s">
        <v>21</v>
      </c>
      <c r="B73" s="1" t="s">
        <v>19</v>
      </c>
      <c r="C73" s="1" t="s">
        <v>17</v>
      </c>
      <c r="D73" s="1">
        <v>262144</v>
      </c>
      <c r="E73" s="3">
        <v>221.32</v>
      </c>
      <c r="F73" s="5">
        <v>4518420.8899999997</v>
      </c>
      <c r="G73" s="6">
        <v>5.6000000000000001E-2</v>
      </c>
      <c r="H73" s="1">
        <v>0.64</v>
      </c>
      <c r="I73" s="1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Notes</vt:lpstr>
      <vt:lpstr>Median</vt:lpstr>
      <vt:lpstr>Runtime Charts</vt:lpstr>
      <vt:lpstr>Ratios</vt:lpstr>
      <vt:lpstr>Run 1</vt:lpstr>
      <vt:lpstr>Run 2</vt:lpstr>
      <vt:lpstr>Run 3</vt:lpstr>
      <vt:lpstr>Run 4</vt:lpstr>
      <vt:lpstr>Run 5</vt:lpstr>
      <vt:lpstr>Run 6</vt:lpstr>
      <vt:lpstr>Run 7</vt:lpstr>
      <vt:lpstr>Run 8</vt:lpstr>
      <vt:lpstr>Run 9</vt:lpstr>
      <vt:lpstr>Run 10</vt:lpstr>
      <vt:lpstr>Run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Tan Choon Ming</cp:lastModifiedBy>
  <cp:revision>0</cp:revision>
  <dcterms:created xsi:type="dcterms:W3CDTF">2026-10-22T19:34:14Z</dcterms:created>
  <dcterms:modified xsi:type="dcterms:W3CDTF">2026-10-23T08:55:21Z</dcterms:modified>
  <dc:language>en-US</dc:language>
</cp:coreProperties>
</file>